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8_{818EC7FE-EEBB-43B7-99A4-EE8E8ED64E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  <sheet name="Exerci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1" l="1" a="1"/>
  <c r="C89" i="1"/>
  <c r="C88" i="1"/>
  <c r="C87" i="1" a="1"/>
  <c r="C87" i="1"/>
  <c r="C86" i="1" a="1"/>
  <c r="C86" i="1"/>
  <c r="C85" i="1"/>
  <c r="C79" i="1"/>
  <c r="C93" i="1"/>
  <c r="C90" i="1" a="1"/>
  <c r="C90" i="1" s="1"/>
  <c r="C77" i="1"/>
  <c r="C76" i="1"/>
  <c r="C75" i="1"/>
  <c r="C73" i="1" a="1"/>
  <c r="C73" i="1" s="1"/>
  <c r="C72" i="1"/>
  <c r="C71" i="1"/>
  <c r="C70" i="1"/>
  <c r="C69" i="1"/>
  <c r="C78" i="1"/>
  <c r="C80" i="1"/>
  <c r="C83" i="1"/>
  <c r="C82" i="1" a="1"/>
  <c r="C82" i="1" s="1"/>
  <c r="C91" i="1"/>
  <c r="C92" i="1"/>
  <c r="C94" i="1"/>
  <c r="C95" i="1"/>
  <c r="C96" i="1"/>
  <c r="C97" i="1" a="1"/>
  <c r="C97" i="1" s="1"/>
  <c r="C99" i="1"/>
  <c r="C100" i="1"/>
  <c r="C101" i="1"/>
  <c r="C102" i="1"/>
  <c r="C103" i="1"/>
  <c r="C84" i="1"/>
  <c r="C68" i="1"/>
  <c r="C74" i="1"/>
  <c r="C67" i="1"/>
  <c r="C6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C65" i="1"/>
  <c r="C64" i="1"/>
  <c r="C63" i="1"/>
  <c r="C62" i="1"/>
  <c r="C61" i="1"/>
  <c r="C60" i="1"/>
  <c r="C59" i="1"/>
  <c r="C58" i="1"/>
  <c r="C57" i="1"/>
  <c r="C56" i="1"/>
  <c r="C55" i="1"/>
  <c r="C54" i="1"/>
  <c r="C2" i="2"/>
  <c r="C81" i="1" a="1"/>
  <c r="C8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<sst xmlns="http://schemas.openxmlformats.org/spreadsheetml/2006/main" count="411" uniqueCount="314">
  <si>
    <t>ID</t>
  </si>
  <si>
    <t>Full Name</t>
  </si>
  <si>
    <t>Email</t>
  </si>
  <si>
    <t>Phone</t>
  </si>
  <si>
    <t>City</t>
  </si>
  <si>
    <t>Employee Code</t>
  </si>
  <si>
    <t>Notes</t>
  </si>
  <si>
    <t>Raj Kumar</t>
  </si>
  <si>
    <t>raj.kumar@gmail.com</t>
  </si>
  <si>
    <t>9876543210</t>
  </si>
  <si>
    <t>Chennai</t>
  </si>
  <si>
    <t>EMP-CHN-2024</t>
  </si>
  <si>
    <t>Aspiring for promotion</t>
  </si>
  <si>
    <t>Priya Mani</t>
  </si>
  <si>
    <t>priya_mani@yahoo.com</t>
  </si>
  <si>
    <t>9898123471</t>
  </si>
  <si>
    <t>Madurai</t>
  </si>
  <si>
    <t>EMP-MDU-1432</t>
  </si>
  <si>
    <t>On maternity leave</t>
  </si>
  <si>
    <t>Karthik S</t>
  </si>
  <si>
    <t>karthik.s@outlook.com</t>
  </si>
  <si>
    <t>9001234567</t>
  </si>
  <si>
    <t>Coimbatore</t>
  </si>
  <si>
    <t>EMP-CBE-1834</t>
  </si>
  <si>
    <t>Part-time</t>
  </si>
  <si>
    <t>Sneha R</t>
  </si>
  <si>
    <t>sneha.r@gmail.com</t>
  </si>
  <si>
    <t>9945627812</t>
  </si>
  <si>
    <t>Salem</t>
  </si>
  <si>
    <t>EMP-SLM-2765</t>
  </si>
  <si>
    <t>Top performer</t>
  </si>
  <si>
    <t>Manoj L</t>
  </si>
  <si>
    <t>manoj_l@yahoo.in</t>
  </si>
  <si>
    <t>9123456678</t>
  </si>
  <si>
    <t>Trichy</t>
  </si>
  <si>
    <t>EMP-TRY-9876</t>
  </si>
  <si>
    <t>Documentation pending</t>
  </si>
  <si>
    <t>Asha Devi</t>
  </si>
  <si>
    <t>asha.devi@hotmail.com</t>
  </si>
  <si>
    <t>9812345098</t>
  </si>
  <si>
    <t>EMP-CHN-7654</t>
  </si>
  <si>
    <t>New joiner</t>
  </si>
  <si>
    <t>Deepak M</t>
  </si>
  <si>
    <t>deepakm123@gmail.com</t>
  </si>
  <si>
    <t>9786543201</t>
  </si>
  <si>
    <t>Erode</t>
  </si>
  <si>
    <t>EMP-ERD-4456</t>
  </si>
  <si>
    <t>Transferred recently</t>
  </si>
  <si>
    <t>Anitha P</t>
  </si>
  <si>
    <t>anitha.p@company.com</t>
  </si>
  <si>
    <t>9798123400</t>
  </si>
  <si>
    <t>EMP-MDU-5644</t>
  </si>
  <si>
    <t>Remote worker</t>
  </si>
  <si>
    <t>Vignesh R</t>
  </si>
  <si>
    <t>vicky.r@gmail.com</t>
  </si>
  <si>
    <t>9801122334</t>
  </si>
  <si>
    <t>EMP-CHN-3345</t>
  </si>
  <si>
    <t>Needs training</t>
  </si>
  <si>
    <t>Saranya K</t>
  </si>
  <si>
    <t>saranya.k@info.in</t>
  </si>
  <si>
    <t>9867102345</t>
  </si>
  <si>
    <t>EMP-SLM-6755</t>
  </si>
  <si>
    <t>Excellent attendance</t>
  </si>
  <si>
    <t>Hari Prasad</t>
  </si>
  <si>
    <t>hariprasad07@gmail.com</t>
  </si>
  <si>
    <t>9815672345</t>
  </si>
  <si>
    <t>EMP-CBE-1122</t>
  </si>
  <si>
    <t>Pending appraisal</t>
  </si>
  <si>
    <t>Sudha L</t>
  </si>
  <si>
    <t>sudha_l@hotmail.com</t>
  </si>
  <si>
    <t>9823445678</t>
  </si>
  <si>
    <t>EMP-CHN-2311</t>
  </si>
  <si>
    <t>Leave request approved</t>
  </si>
  <si>
    <t>Bala Murugan</t>
  </si>
  <si>
    <t>bala.m@gmail.com</t>
  </si>
  <si>
    <t>9898776623</t>
  </si>
  <si>
    <t>EMP-MDU-4433</t>
  </si>
  <si>
    <t>Dinesh Kumar</t>
  </si>
  <si>
    <t>dinesh.k@company.org</t>
  </si>
  <si>
    <t>9765432109</t>
  </si>
  <si>
    <t>EMP-CBE-5566</t>
  </si>
  <si>
    <t>On probation</t>
  </si>
  <si>
    <t>Pavithra S</t>
  </si>
  <si>
    <t>pavi.s@gmail.com</t>
  </si>
  <si>
    <t>9945567891</t>
  </si>
  <si>
    <t>EMP-TRY-7722</t>
  </si>
  <si>
    <t>High potential</t>
  </si>
  <si>
    <t>Arunachalam P</t>
  </si>
  <si>
    <t>arun.p@office.com</t>
  </si>
  <si>
    <t>9009871234</t>
  </si>
  <si>
    <t>EMP-CHN-9901</t>
  </si>
  <si>
    <t>Contract renewal pending</t>
  </si>
  <si>
    <t>Ramya R</t>
  </si>
  <si>
    <t>ramya.r@yahoo.com</t>
  </si>
  <si>
    <t>7890654321</t>
  </si>
  <si>
    <t>EMP-ERD-6733</t>
  </si>
  <si>
    <t>Team lead</t>
  </si>
  <si>
    <t>Suresh B</t>
  </si>
  <si>
    <t>suresh_b@gmail.com</t>
  </si>
  <si>
    <t>8970654321</t>
  </si>
  <si>
    <t>EMP-SLM-9955</t>
  </si>
  <si>
    <t>Medical leave</t>
  </si>
  <si>
    <t>Leela Devi</t>
  </si>
  <si>
    <t>leela.devi@info.com</t>
  </si>
  <si>
    <t>9345612789</t>
  </si>
  <si>
    <t>EMP-MDU-2281</t>
  </si>
  <si>
    <t>Onboarding completed</t>
  </si>
  <si>
    <t>Pradeep S</t>
  </si>
  <si>
    <t>pradeep.s@company.com</t>
  </si>
  <si>
    <t>9123409876</t>
  </si>
  <si>
    <t>EMP-CHN-8812</t>
  </si>
  <si>
    <t>Needs mentorship</t>
  </si>
  <si>
    <t>Gayathri M</t>
  </si>
  <si>
    <t>gayu.m@yahoo.in</t>
  </si>
  <si>
    <t>9867123490</t>
  </si>
  <si>
    <t>EMP-CBE-0088</t>
  </si>
  <si>
    <t>Internal transfer</t>
  </si>
  <si>
    <t>Ajay K</t>
  </si>
  <si>
    <t>ajay.k@gmail.com</t>
  </si>
  <si>
    <t>9001900234</t>
  </si>
  <si>
    <t>EMP-MDU-3321</t>
  </si>
  <si>
    <t>On time always</t>
  </si>
  <si>
    <t>Krishna B</t>
  </si>
  <si>
    <t>krish.b@office.in</t>
  </si>
  <si>
    <t>9090909090</t>
  </si>
  <si>
    <t>EMP-CHN-8814</t>
  </si>
  <si>
    <t>Poor attendance</t>
  </si>
  <si>
    <t>Sangeetha P</t>
  </si>
  <si>
    <t>sangee.p@gmail.com</t>
  </si>
  <si>
    <t>9797979797</t>
  </si>
  <si>
    <t>EMP-ERD-2244</t>
  </si>
  <si>
    <t>Team player</t>
  </si>
  <si>
    <t>Monisha T</t>
  </si>
  <si>
    <t>moni.t@company.com</t>
  </si>
  <si>
    <t>8123456789</t>
  </si>
  <si>
    <t>EMP-CBE-5561</t>
  </si>
  <si>
    <t>John Peter</t>
  </si>
  <si>
    <t>johnpeter007@gmail.com</t>
  </si>
  <si>
    <t>9654321870</t>
  </si>
  <si>
    <t>EMP-CHN-1044</t>
  </si>
  <si>
    <t>International client</t>
  </si>
  <si>
    <t>Meena Lakshmi</t>
  </si>
  <si>
    <t>meena.l@office.org</t>
  </si>
  <si>
    <t>9765123490</t>
  </si>
  <si>
    <t>EMP-MDU-8891</t>
  </si>
  <si>
    <t>Project lead</t>
  </si>
  <si>
    <t>Hemachandran M</t>
  </si>
  <si>
    <t>hem.m@gmail.com</t>
  </si>
  <si>
    <t>9123987654</t>
  </si>
  <si>
    <t>EMP-TRY-6611</t>
  </si>
  <si>
    <t>Shift worker</t>
  </si>
  <si>
    <t>Divya S</t>
  </si>
  <si>
    <t>divyas@yahoo.com</t>
  </si>
  <si>
    <t>9234567812</t>
  </si>
  <si>
    <t>EMP-ERD-3341</t>
  </si>
  <si>
    <t>Pending validation</t>
  </si>
  <si>
    <t>Rohit J</t>
  </si>
  <si>
    <t>rohit.j@hotmail.com</t>
  </si>
  <si>
    <t>9871203456</t>
  </si>
  <si>
    <t>EMP-CHN-7134</t>
  </si>
  <si>
    <t>Training completed</t>
  </si>
  <si>
    <t>Aishwarya D</t>
  </si>
  <si>
    <t>aishu.d@gmail.com</t>
  </si>
  <si>
    <t>9803456721</t>
  </si>
  <si>
    <t>EMP-SLM-9023</t>
  </si>
  <si>
    <t>Probation extended</t>
  </si>
  <si>
    <t>Kavin G</t>
  </si>
  <si>
    <t>kavin.g@company.com</t>
  </si>
  <si>
    <t>9098123456</t>
  </si>
  <si>
    <t>EMP-MDU-1199</t>
  </si>
  <si>
    <t>Strong communication</t>
  </si>
  <si>
    <t>Preethi N</t>
  </si>
  <si>
    <t>preethi.n@gmail.com</t>
  </si>
  <si>
    <t>9000765432</t>
  </si>
  <si>
    <t>EMP-ERD-3377</t>
  </si>
  <si>
    <t>Shift change requested</t>
  </si>
  <si>
    <t>Varun S</t>
  </si>
  <si>
    <t>varun_s@yahoo.com</t>
  </si>
  <si>
    <t>9345678123</t>
  </si>
  <si>
    <t>EMP-CBE-4432</t>
  </si>
  <si>
    <t>Good performer</t>
  </si>
  <si>
    <t>Keerthana P</t>
  </si>
  <si>
    <t>keerthi.p@gmail.com</t>
  </si>
  <si>
    <t>9865120901</t>
  </si>
  <si>
    <t>EMP-SLM-7731</t>
  </si>
  <si>
    <t>New trainee</t>
  </si>
  <si>
    <t>Siddharth R</t>
  </si>
  <si>
    <t>sid.r@office.com</t>
  </si>
  <si>
    <t>9234509876</t>
  </si>
  <si>
    <t>EMP-CHN-6654</t>
  </si>
  <si>
    <t>On promotion cycle</t>
  </si>
  <si>
    <t>Radha R</t>
  </si>
  <si>
    <t>radhar@gmail.com</t>
  </si>
  <si>
    <t>9345609871</t>
  </si>
  <si>
    <t>EMP-MDU-2201</t>
  </si>
  <si>
    <t>Flexible timing</t>
  </si>
  <si>
    <t>Naveen L</t>
  </si>
  <si>
    <t>navi.l@company.in</t>
  </si>
  <si>
    <t>9123978564</t>
  </si>
  <si>
    <t>EMP-ERD-6678</t>
  </si>
  <si>
    <t>Waiting for feedback</t>
  </si>
  <si>
    <t>Swathi K</t>
  </si>
  <si>
    <t>swathi.k@yahoo.com</t>
  </si>
  <si>
    <t>9812345678</t>
  </si>
  <si>
    <t>EMP-CBE-8890</t>
  </si>
  <si>
    <t>Project completed</t>
  </si>
  <si>
    <t>Mohan Raj</t>
  </si>
  <si>
    <t>mohan.r@gmail.com</t>
  </si>
  <si>
    <t>9888123455</t>
  </si>
  <si>
    <t>EMP-TRY-4412</t>
  </si>
  <si>
    <t>Needs improvement</t>
  </si>
  <si>
    <t>Tharani R</t>
  </si>
  <si>
    <t>tharani.r@office.org</t>
  </si>
  <si>
    <t>9876501234</t>
  </si>
  <si>
    <t>EMP-MDU-1212</t>
  </si>
  <si>
    <t>Cross-training</t>
  </si>
  <si>
    <t>Santhosh P</t>
  </si>
  <si>
    <t>san.p@gmail.com</t>
  </si>
  <si>
    <t>9345067123</t>
  </si>
  <si>
    <t>EMP-CHN-3409</t>
  </si>
  <si>
    <t>Updated records</t>
  </si>
  <si>
    <t>Maha L</t>
  </si>
  <si>
    <t>maha.l@yahoo.com</t>
  </si>
  <si>
    <t>9234012678</t>
  </si>
  <si>
    <t>EMP-ERD-5551</t>
  </si>
  <si>
    <t>No remarks</t>
  </si>
  <si>
    <t>Sujith S</t>
  </si>
  <si>
    <t>sujith_s@gmail.com</t>
  </si>
  <si>
    <t>9807604321</t>
  </si>
  <si>
    <t>EMP-CBE-7788</t>
  </si>
  <si>
    <t>Training needed</t>
  </si>
  <si>
    <t>Selvi T</t>
  </si>
  <si>
    <t>selvi.t@company.in</t>
  </si>
  <si>
    <t>9091765432</t>
  </si>
  <si>
    <t>EMP-SLM-2210</t>
  </si>
  <si>
    <t>Skill development</t>
  </si>
  <si>
    <t>Harsha V</t>
  </si>
  <si>
    <t>harsha.v@gmail.com</t>
  </si>
  <si>
    <t>9345678012</t>
  </si>
  <si>
    <t>EMP-CHN-9903</t>
  </si>
  <si>
    <t>Top contributor</t>
  </si>
  <si>
    <t>Jenifer R</t>
  </si>
  <si>
    <t>jenifer.r@hotmail.com</t>
  </si>
  <si>
    <t>8123098765</t>
  </si>
  <si>
    <t>EMP-MDU-7651</t>
  </si>
  <si>
    <t>Good quality work</t>
  </si>
  <si>
    <t>Sethu Raman</t>
  </si>
  <si>
    <t>sethur@office.com</t>
  </si>
  <si>
    <t>9123456702</t>
  </si>
  <si>
    <t>EMP-CBE-1188</t>
  </si>
  <si>
    <t>Rehire recommended</t>
  </si>
  <si>
    <t>Monika Devi</t>
  </si>
  <si>
    <t>monika_d@info.in</t>
  </si>
  <si>
    <t>9098234567</t>
  </si>
  <si>
    <t>EMP-SLM-3324</t>
  </si>
  <si>
    <t>Sankar M</t>
  </si>
  <si>
    <t>sankar.m@gmail.com</t>
  </si>
  <si>
    <t>9234567098</t>
  </si>
  <si>
    <t>EMP-CHN-2299</t>
  </si>
  <si>
    <t>Probation cleared</t>
  </si>
  <si>
    <t>No.</t>
  </si>
  <si>
    <t>Exercise (String Functions Only)</t>
  </si>
  <si>
    <t>Extract First Name from Full Name</t>
  </si>
  <si>
    <t>Extract Last Name</t>
  </si>
  <si>
    <t>Convert Full Name to UPPERCASE</t>
  </si>
  <si>
    <t>Convert Full Name to Proper Case</t>
  </si>
  <si>
    <t>Find length of Full Name</t>
  </si>
  <si>
    <t>Extract Email Domain</t>
  </si>
  <si>
    <t>Extract Email Username</t>
  </si>
  <si>
    <t>Extract last 4 digits of Phone</t>
  </si>
  <si>
    <t>Mask Phone Number</t>
  </si>
  <si>
    <t>Combine Name and City</t>
  </si>
  <si>
    <t>Extract City Code from Employee Code</t>
  </si>
  <si>
    <t>Extract Numeric Part of Employee Code</t>
  </si>
  <si>
    <t>Check if Email contains 'gmail'</t>
  </si>
  <si>
    <t>Find position of '@' in Email</t>
  </si>
  <si>
    <t>Extract everything after '@'</t>
  </si>
  <si>
    <t>Create Staff ID: first 3 letters + last 2 phone digits</t>
  </si>
  <si>
    <t>Remove dots from Full Name</t>
  </si>
  <si>
    <t>Replace hyphens in Employee Code with spaces</t>
  </si>
  <si>
    <t>Extract first 5 letters of Full Name</t>
  </si>
  <si>
    <t>Extract Initials</t>
  </si>
  <si>
    <t>Combine Name, City and ID</t>
  </si>
  <si>
    <t>Count characters excluding spaces</t>
  </si>
  <si>
    <t>Extract text inside parentheses from Notes</t>
  </si>
  <si>
    <t>Remove 'EMP-' from Employee Code</t>
  </si>
  <si>
    <t>Convert Notes to Sentence Case</t>
  </si>
  <si>
    <t>Extract last word of Notes</t>
  </si>
  <si>
    <t>Remove domain extension from Email</t>
  </si>
  <si>
    <t>Reverse Full Name</t>
  </si>
  <si>
    <t>Count vowels in Full Name</t>
  </si>
  <si>
    <t>Extract second word from Notes</t>
  </si>
  <si>
    <t>Extract city from Employee Code</t>
  </si>
  <si>
    <t>Create username: name + ID</t>
  </si>
  <si>
    <t>Remove numbers from Employee Code</t>
  </si>
  <si>
    <t>Extract only digits from Employee Code</t>
  </si>
  <si>
    <t>Check if Full Name &gt; 10 characters</t>
  </si>
  <si>
    <t>Extract only letters from Email username</t>
  </si>
  <si>
    <t>Extract only digits from Phone</t>
  </si>
  <si>
    <t>Mask Email username</t>
  </si>
  <si>
    <t>Create 8-character password from Full Name</t>
  </si>
  <si>
    <t>Capitalize only last name</t>
  </si>
  <si>
    <t>Merge City + last 3 phone digits</t>
  </si>
  <si>
    <t>Extract middle letter(s) of city</t>
  </si>
  <si>
    <t>Replace city with uppercase in a sentence</t>
  </si>
  <si>
    <t>Short code from Notes (initial of each word)</t>
  </si>
  <si>
    <t>Employee short tag (initials + city code)</t>
  </si>
  <si>
    <t>Check if name contains '.'</t>
  </si>
  <si>
    <t>Extract first word from Full Name</t>
  </si>
  <si>
    <t>Extract last word from Full Name</t>
  </si>
  <si>
    <t>Standardize phone: +91-number</t>
  </si>
  <si>
    <t>Count words in Notes</t>
  </si>
  <si>
    <t>Find everything after '@'</t>
  </si>
  <si>
    <t>Remove dots from Full Name+B100B70:B99B70:B103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</si>
</sst>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74" workbookViewId="0">
      <selection activeCell="C89" sqref="C89"/>
    </sheetView>
  </sheetViews>
  <sheetFormatPr defaultRowHeight="14.4" x14ac:dyDescent="0.3"/>
  <cols>
    <col min="2" max="2" width="41.5546875" bestFit="1" customWidth="1"/>
    <col min="3" max="3" width="30.6640625" bestFit="1" customWidth="1"/>
    <col min="4" max="4" width="18.5546875" customWidth="1"/>
    <col min="5" max="5" width="16" customWidth="1"/>
    <col min="6" max="6" width="16.109375" customWidth="1"/>
    <col min="7" max="7" width="31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tr">
        <f t="shared" ref="H3:H51" si="0">IF(ISNUMBER(FIND("gmail",C3)),"yes","no")</f>
        <v>no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tr">
        <f t="shared" si="0"/>
        <v>no</v>
      </c>
    </row>
    <row r="5" spans="1:8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tr">
        <f t="shared" si="0"/>
        <v>yes</v>
      </c>
    </row>
    <row r="6" spans="1:8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tr">
        <f t="shared" si="0"/>
        <v>no</v>
      </c>
    </row>
    <row r="7" spans="1:8" x14ac:dyDescent="0.3">
      <c r="A7">
        <v>6</v>
      </c>
      <c r="B7" t="s">
        <v>37</v>
      </c>
      <c r="C7" t="s">
        <v>38</v>
      </c>
      <c r="D7" t="s">
        <v>39</v>
      </c>
      <c r="E7" t="s">
        <v>10</v>
      </c>
      <c r="F7" t="s">
        <v>40</v>
      </c>
      <c r="G7" t="s">
        <v>41</v>
      </c>
      <c r="H7" t="str">
        <f t="shared" si="0"/>
        <v>no</v>
      </c>
    </row>
    <row r="8" spans="1:8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tr">
        <f t="shared" si="0"/>
        <v>yes</v>
      </c>
    </row>
    <row r="9" spans="1:8" x14ac:dyDescent="0.3">
      <c r="A9">
        <v>8</v>
      </c>
      <c r="B9" t="s">
        <v>48</v>
      </c>
      <c r="C9" t="s">
        <v>49</v>
      </c>
      <c r="D9" t="s">
        <v>50</v>
      </c>
      <c r="E9" t="s">
        <v>16</v>
      </c>
      <c r="F9" t="s">
        <v>51</v>
      </c>
      <c r="G9" t="s">
        <v>52</v>
      </c>
      <c r="H9" t="str">
        <f t="shared" si="0"/>
        <v>no</v>
      </c>
    </row>
    <row r="10" spans="1:8" x14ac:dyDescent="0.3">
      <c r="A10">
        <v>9</v>
      </c>
      <c r="B10" t="s">
        <v>53</v>
      </c>
      <c r="C10" t="s">
        <v>54</v>
      </c>
      <c r="D10" t="s">
        <v>55</v>
      </c>
      <c r="E10" t="s">
        <v>10</v>
      </c>
      <c r="F10" t="s">
        <v>56</v>
      </c>
      <c r="G10" t="s">
        <v>57</v>
      </c>
      <c r="H10" t="str">
        <f t="shared" si="0"/>
        <v>yes</v>
      </c>
    </row>
    <row r="11" spans="1:8" x14ac:dyDescent="0.3">
      <c r="A11">
        <v>10</v>
      </c>
      <c r="B11" t="s">
        <v>58</v>
      </c>
      <c r="C11" t="s">
        <v>59</v>
      </c>
      <c r="D11" t="s">
        <v>60</v>
      </c>
      <c r="E11" t="s">
        <v>28</v>
      </c>
      <c r="F11" t="s">
        <v>61</v>
      </c>
      <c r="G11" t="s">
        <v>62</v>
      </c>
      <c r="H11" t="str">
        <f t="shared" si="0"/>
        <v>no</v>
      </c>
    </row>
    <row r="12" spans="1:8" x14ac:dyDescent="0.3">
      <c r="A12">
        <v>11</v>
      </c>
      <c r="B12" t="s">
        <v>63</v>
      </c>
      <c r="C12" t="s">
        <v>64</v>
      </c>
      <c r="D12" t="s">
        <v>65</v>
      </c>
      <c r="E12" t="s">
        <v>22</v>
      </c>
      <c r="F12" t="s">
        <v>66</v>
      </c>
      <c r="G12" t="s">
        <v>67</v>
      </c>
      <c r="H12" t="str">
        <f t="shared" si="0"/>
        <v>yes</v>
      </c>
    </row>
    <row r="13" spans="1:8" x14ac:dyDescent="0.3">
      <c r="A13">
        <v>12</v>
      </c>
      <c r="B13" t="s">
        <v>68</v>
      </c>
      <c r="C13" t="s">
        <v>69</v>
      </c>
      <c r="D13" t="s">
        <v>70</v>
      </c>
      <c r="E13" t="s">
        <v>10</v>
      </c>
      <c r="F13" t="s">
        <v>71</v>
      </c>
      <c r="G13" t="s">
        <v>72</v>
      </c>
      <c r="H13" t="str">
        <f t="shared" si="0"/>
        <v>no</v>
      </c>
    </row>
    <row r="14" spans="1:8" x14ac:dyDescent="0.3">
      <c r="A14">
        <v>13</v>
      </c>
      <c r="B14" t="s">
        <v>73</v>
      </c>
      <c r="C14" t="s">
        <v>74</v>
      </c>
      <c r="D14" t="s">
        <v>75</v>
      </c>
      <c r="E14" t="s">
        <v>16</v>
      </c>
      <c r="F14" t="s">
        <v>76</v>
      </c>
      <c r="G14" t="s">
        <v>24</v>
      </c>
      <c r="H14" t="str">
        <f t="shared" si="0"/>
        <v>yes</v>
      </c>
    </row>
    <row r="15" spans="1:8" x14ac:dyDescent="0.3">
      <c r="A15">
        <v>14</v>
      </c>
      <c r="B15" t="s">
        <v>77</v>
      </c>
      <c r="C15" t="s">
        <v>78</v>
      </c>
      <c r="D15" t="s">
        <v>79</v>
      </c>
      <c r="E15" t="s">
        <v>22</v>
      </c>
      <c r="F15" t="s">
        <v>80</v>
      </c>
      <c r="G15" t="s">
        <v>81</v>
      </c>
      <c r="H15" t="str">
        <f t="shared" si="0"/>
        <v>no</v>
      </c>
    </row>
    <row r="16" spans="1:8" x14ac:dyDescent="0.3">
      <c r="A16">
        <v>15</v>
      </c>
      <c r="B16" t="s">
        <v>82</v>
      </c>
      <c r="C16" t="s">
        <v>83</v>
      </c>
      <c r="D16" t="s">
        <v>84</v>
      </c>
      <c r="E16" t="s">
        <v>34</v>
      </c>
      <c r="F16" t="s">
        <v>85</v>
      </c>
      <c r="G16" t="s">
        <v>86</v>
      </c>
      <c r="H16" t="str">
        <f t="shared" si="0"/>
        <v>yes</v>
      </c>
    </row>
    <row r="17" spans="1:8" x14ac:dyDescent="0.3">
      <c r="A17">
        <v>16</v>
      </c>
      <c r="B17" t="s">
        <v>87</v>
      </c>
      <c r="C17" t="s">
        <v>88</v>
      </c>
      <c r="D17" t="s">
        <v>89</v>
      </c>
      <c r="E17" t="s">
        <v>10</v>
      </c>
      <c r="F17" t="s">
        <v>90</v>
      </c>
      <c r="G17" t="s">
        <v>91</v>
      </c>
      <c r="H17" t="str">
        <f t="shared" si="0"/>
        <v>no</v>
      </c>
    </row>
    <row r="18" spans="1:8" x14ac:dyDescent="0.3">
      <c r="A18">
        <v>17</v>
      </c>
      <c r="B18" t="s">
        <v>92</v>
      </c>
      <c r="C18" t="s">
        <v>93</v>
      </c>
      <c r="D18" t="s">
        <v>94</v>
      </c>
      <c r="E18" t="s">
        <v>45</v>
      </c>
      <c r="F18" t="s">
        <v>95</v>
      </c>
      <c r="G18" t="s">
        <v>96</v>
      </c>
      <c r="H18" t="str">
        <f t="shared" si="0"/>
        <v>no</v>
      </c>
    </row>
    <row r="19" spans="1:8" x14ac:dyDescent="0.3">
      <c r="A19">
        <v>18</v>
      </c>
      <c r="B19" t="s">
        <v>97</v>
      </c>
      <c r="C19" t="s">
        <v>98</v>
      </c>
      <c r="D19" t="s">
        <v>99</v>
      </c>
      <c r="E19" t="s">
        <v>28</v>
      </c>
      <c r="F19" t="s">
        <v>100</v>
      </c>
      <c r="G19" t="s">
        <v>101</v>
      </c>
      <c r="H19" t="str">
        <f t="shared" si="0"/>
        <v>yes</v>
      </c>
    </row>
    <row r="20" spans="1:8" x14ac:dyDescent="0.3">
      <c r="A20">
        <v>19</v>
      </c>
      <c r="B20" t="s">
        <v>102</v>
      </c>
      <c r="C20" t="s">
        <v>103</v>
      </c>
      <c r="D20" t="s">
        <v>104</v>
      </c>
      <c r="E20" t="s">
        <v>16</v>
      </c>
      <c r="F20" t="s">
        <v>105</v>
      </c>
      <c r="G20" t="s">
        <v>106</v>
      </c>
      <c r="H20" t="str">
        <f t="shared" si="0"/>
        <v>no</v>
      </c>
    </row>
    <row r="21" spans="1:8" x14ac:dyDescent="0.3">
      <c r="A21">
        <v>20</v>
      </c>
      <c r="B21" t="s">
        <v>107</v>
      </c>
      <c r="C21" t="s">
        <v>108</v>
      </c>
      <c r="D21" t="s">
        <v>109</v>
      </c>
      <c r="E21" t="s">
        <v>10</v>
      </c>
      <c r="F21" t="s">
        <v>110</v>
      </c>
      <c r="G21" t="s">
        <v>111</v>
      </c>
      <c r="H21" t="str">
        <f t="shared" si="0"/>
        <v>no</v>
      </c>
    </row>
    <row r="22" spans="1:8" x14ac:dyDescent="0.3">
      <c r="A22">
        <v>21</v>
      </c>
      <c r="B22" t="s">
        <v>112</v>
      </c>
      <c r="C22" t="s">
        <v>113</v>
      </c>
      <c r="D22" t="s">
        <v>114</v>
      </c>
      <c r="E22" t="s">
        <v>22</v>
      </c>
      <c r="F22" t="s">
        <v>115</v>
      </c>
      <c r="G22" t="s">
        <v>116</v>
      </c>
      <c r="H22" t="str">
        <f t="shared" si="0"/>
        <v>no</v>
      </c>
    </row>
    <row r="23" spans="1:8" x14ac:dyDescent="0.3">
      <c r="A23">
        <v>22</v>
      </c>
      <c r="B23" t="s">
        <v>117</v>
      </c>
      <c r="C23" t="s">
        <v>118</v>
      </c>
      <c r="D23" t="s">
        <v>119</v>
      </c>
      <c r="E23" t="s">
        <v>16</v>
      </c>
      <c r="F23" t="s">
        <v>120</v>
      </c>
      <c r="G23" t="s">
        <v>121</v>
      </c>
      <c r="H23" t="str">
        <f t="shared" si="0"/>
        <v>yes</v>
      </c>
    </row>
    <row r="24" spans="1:8" x14ac:dyDescent="0.3">
      <c r="A24">
        <v>23</v>
      </c>
      <c r="B24" t="s">
        <v>122</v>
      </c>
      <c r="C24" t="s">
        <v>123</v>
      </c>
      <c r="D24" t="s">
        <v>124</v>
      </c>
      <c r="E24" t="s">
        <v>10</v>
      </c>
      <c r="F24" t="s">
        <v>125</v>
      </c>
      <c r="G24" t="s">
        <v>126</v>
      </c>
      <c r="H24" t="str">
        <f t="shared" si="0"/>
        <v>no</v>
      </c>
    </row>
    <row r="25" spans="1:8" x14ac:dyDescent="0.3">
      <c r="A25">
        <v>24</v>
      </c>
      <c r="B25" t="s">
        <v>127</v>
      </c>
      <c r="C25" t="s">
        <v>128</v>
      </c>
      <c r="D25" t="s">
        <v>129</v>
      </c>
      <c r="E25" t="s">
        <v>45</v>
      </c>
      <c r="F25" t="s">
        <v>130</v>
      </c>
      <c r="G25" t="s">
        <v>131</v>
      </c>
      <c r="H25" t="str">
        <f t="shared" si="0"/>
        <v>yes</v>
      </c>
    </row>
    <row r="26" spans="1:8" x14ac:dyDescent="0.3">
      <c r="A26">
        <v>25</v>
      </c>
      <c r="B26" t="s">
        <v>132</v>
      </c>
      <c r="C26" t="s">
        <v>133</v>
      </c>
      <c r="D26" t="s">
        <v>134</v>
      </c>
      <c r="E26" t="s">
        <v>22</v>
      </c>
      <c r="F26" t="s">
        <v>135</v>
      </c>
      <c r="G26" t="s">
        <v>81</v>
      </c>
      <c r="H26" t="str">
        <f t="shared" si="0"/>
        <v>no</v>
      </c>
    </row>
    <row r="27" spans="1:8" x14ac:dyDescent="0.3">
      <c r="A27">
        <v>26</v>
      </c>
      <c r="B27" t="s">
        <v>136</v>
      </c>
      <c r="C27" t="s">
        <v>137</v>
      </c>
      <c r="D27" t="s">
        <v>138</v>
      </c>
      <c r="E27" t="s">
        <v>10</v>
      </c>
      <c r="F27" t="s">
        <v>139</v>
      </c>
      <c r="G27" t="s">
        <v>140</v>
      </c>
      <c r="H27" t="str">
        <f t="shared" si="0"/>
        <v>yes</v>
      </c>
    </row>
    <row r="28" spans="1:8" x14ac:dyDescent="0.3">
      <c r="A28">
        <v>27</v>
      </c>
      <c r="B28" t="s">
        <v>141</v>
      </c>
      <c r="C28" t="s">
        <v>142</v>
      </c>
      <c r="D28" t="s">
        <v>143</v>
      </c>
      <c r="E28" t="s">
        <v>16</v>
      </c>
      <c r="F28" t="s">
        <v>144</v>
      </c>
      <c r="G28" t="s">
        <v>145</v>
      </c>
      <c r="H28" t="str">
        <f t="shared" si="0"/>
        <v>no</v>
      </c>
    </row>
    <row r="29" spans="1:8" x14ac:dyDescent="0.3">
      <c r="A29">
        <v>28</v>
      </c>
      <c r="B29" t="s">
        <v>146</v>
      </c>
      <c r="C29" t="s">
        <v>147</v>
      </c>
      <c r="D29" t="s">
        <v>148</v>
      </c>
      <c r="E29" t="s">
        <v>34</v>
      </c>
      <c r="F29" t="s">
        <v>149</v>
      </c>
      <c r="G29" t="s">
        <v>150</v>
      </c>
      <c r="H29" t="str">
        <f t="shared" si="0"/>
        <v>yes</v>
      </c>
    </row>
    <row r="30" spans="1:8" x14ac:dyDescent="0.3">
      <c r="A30">
        <v>29</v>
      </c>
      <c r="B30" t="s">
        <v>151</v>
      </c>
      <c r="C30" t="s">
        <v>152</v>
      </c>
      <c r="D30" t="s">
        <v>153</v>
      </c>
      <c r="E30" t="s">
        <v>45</v>
      </c>
      <c r="F30" t="s">
        <v>154</v>
      </c>
      <c r="G30" t="s">
        <v>155</v>
      </c>
      <c r="H30" t="str">
        <f t="shared" si="0"/>
        <v>no</v>
      </c>
    </row>
    <row r="31" spans="1:8" x14ac:dyDescent="0.3">
      <c r="A31">
        <v>30</v>
      </c>
      <c r="B31" t="s">
        <v>156</v>
      </c>
      <c r="C31" t="s">
        <v>157</v>
      </c>
      <c r="D31" t="s">
        <v>158</v>
      </c>
      <c r="E31" t="s">
        <v>10</v>
      </c>
      <c r="F31" t="s">
        <v>159</v>
      </c>
      <c r="G31" t="s">
        <v>160</v>
      </c>
      <c r="H31" t="str">
        <f t="shared" si="0"/>
        <v>no</v>
      </c>
    </row>
    <row r="32" spans="1:8" x14ac:dyDescent="0.3">
      <c r="A32">
        <v>31</v>
      </c>
      <c r="B32" t="s">
        <v>161</v>
      </c>
      <c r="C32" t="s">
        <v>162</v>
      </c>
      <c r="D32" t="s">
        <v>163</v>
      </c>
      <c r="E32" t="s">
        <v>28</v>
      </c>
      <c r="F32" t="s">
        <v>164</v>
      </c>
      <c r="G32" t="s">
        <v>165</v>
      </c>
      <c r="H32" t="str">
        <f t="shared" si="0"/>
        <v>yes</v>
      </c>
    </row>
    <row r="33" spans="1:8" x14ac:dyDescent="0.3">
      <c r="A33">
        <v>32</v>
      </c>
      <c r="B33" t="s">
        <v>166</v>
      </c>
      <c r="C33" t="s">
        <v>167</v>
      </c>
      <c r="D33" t="s">
        <v>168</v>
      </c>
      <c r="E33" t="s">
        <v>16</v>
      </c>
      <c r="F33" t="s">
        <v>169</v>
      </c>
      <c r="G33" t="s">
        <v>170</v>
      </c>
      <c r="H33" t="str">
        <f t="shared" si="0"/>
        <v>no</v>
      </c>
    </row>
    <row r="34" spans="1:8" x14ac:dyDescent="0.3">
      <c r="A34">
        <v>33</v>
      </c>
      <c r="B34" t="s">
        <v>171</v>
      </c>
      <c r="C34" t="s">
        <v>172</v>
      </c>
      <c r="D34" t="s">
        <v>173</v>
      </c>
      <c r="E34" t="s">
        <v>45</v>
      </c>
      <c r="F34" t="s">
        <v>174</v>
      </c>
      <c r="G34" t="s">
        <v>175</v>
      </c>
      <c r="H34" t="str">
        <f t="shared" si="0"/>
        <v>yes</v>
      </c>
    </row>
    <row r="35" spans="1:8" x14ac:dyDescent="0.3">
      <c r="A35">
        <v>34</v>
      </c>
      <c r="B35" t="s">
        <v>176</v>
      </c>
      <c r="C35" t="s">
        <v>177</v>
      </c>
      <c r="D35" t="s">
        <v>178</v>
      </c>
      <c r="E35" t="s">
        <v>22</v>
      </c>
      <c r="F35" t="s">
        <v>179</v>
      </c>
      <c r="G35" t="s">
        <v>180</v>
      </c>
      <c r="H35" t="str">
        <f t="shared" si="0"/>
        <v>no</v>
      </c>
    </row>
    <row r="36" spans="1:8" x14ac:dyDescent="0.3">
      <c r="A36">
        <v>35</v>
      </c>
      <c r="B36" t="s">
        <v>181</v>
      </c>
      <c r="C36" t="s">
        <v>182</v>
      </c>
      <c r="D36" t="s">
        <v>183</v>
      </c>
      <c r="E36" t="s">
        <v>28</v>
      </c>
      <c r="F36" t="s">
        <v>184</v>
      </c>
      <c r="G36" t="s">
        <v>185</v>
      </c>
      <c r="H36" t="str">
        <f t="shared" si="0"/>
        <v>yes</v>
      </c>
    </row>
    <row r="37" spans="1:8" x14ac:dyDescent="0.3">
      <c r="A37">
        <v>36</v>
      </c>
      <c r="B37" t="s">
        <v>186</v>
      </c>
      <c r="C37" t="s">
        <v>187</v>
      </c>
      <c r="D37" t="s">
        <v>188</v>
      </c>
      <c r="E37" t="s">
        <v>10</v>
      </c>
      <c r="F37" t="s">
        <v>189</v>
      </c>
      <c r="G37" t="s">
        <v>190</v>
      </c>
      <c r="H37" t="str">
        <f t="shared" si="0"/>
        <v>no</v>
      </c>
    </row>
    <row r="38" spans="1:8" x14ac:dyDescent="0.3">
      <c r="A38">
        <v>37</v>
      </c>
      <c r="B38" t="s">
        <v>191</v>
      </c>
      <c r="C38" t="s">
        <v>192</v>
      </c>
      <c r="D38" t="s">
        <v>193</v>
      </c>
      <c r="E38" t="s">
        <v>16</v>
      </c>
      <c r="F38" t="s">
        <v>194</v>
      </c>
      <c r="G38" t="s">
        <v>195</v>
      </c>
      <c r="H38" t="str">
        <f t="shared" si="0"/>
        <v>yes</v>
      </c>
    </row>
    <row r="39" spans="1:8" x14ac:dyDescent="0.3">
      <c r="A39">
        <v>38</v>
      </c>
      <c r="B39" t="s">
        <v>196</v>
      </c>
      <c r="C39" t="s">
        <v>197</v>
      </c>
      <c r="D39" t="s">
        <v>198</v>
      </c>
      <c r="E39" t="s">
        <v>45</v>
      </c>
      <c r="F39" t="s">
        <v>199</v>
      </c>
      <c r="G39" t="s">
        <v>200</v>
      </c>
      <c r="H39" t="str">
        <f t="shared" si="0"/>
        <v>no</v>
      </c>
    </row>
    <row r="40" spans="1:8" x14ac:dyDescent="0.3">
      <c r="A40">
        <v>39</v>
      </c>
      <c r="B40" t="s">
        <v>201</v>
      </c>
      <c r="C40" t="s">
        <v>202</v>
      </c>
      <c r="D40" t="s">
        <v>203</v>
      </c>
      <c r="E40" t="s">
        <v>22</v>
      </c>
      <c r="F40" t="s">
        <v>204</v>
      </c>
      <c r="G40" t="s">
        <v>205</v>
      </c>
      <c r="H40" t="str">
        <f t="shared" si="0"/>
        <v>no</v>
      </c>
    </row>
    <row r="41" spans="1:8" x14ac:dyDescent="0.3">
      <c r="A41">
        <v>40</v>
      </c>
      <c r="B41" t="s">
        <v>206</v>
      </c>
      <c r="C41" t="s">
        <v>207</v>
      </c>
      <c r="D41" t="s">
        <v>208</v>
      </c>
      <c r="E41" t="s">
        <v>34</v>
      </c>
      <c r="F41" t="s">
        <v>209</v>
      </c>
      <c r="G41" t="s">
        <v>210</v>
      </c>
      <c r="H41" t="str">
        <f t="shared" si="0"/>
        <v>yes</v>
      </c>
    </row>
    <row r="42" spans="1:8" x14ac:dyDescent="0.3">
      <c r="A42">
        <v>41</v>
      </c>
      <c r="B42" t="s">
        <v>211</v>
      </c>
      <c r="C42" t="s">
        <v>212</v>
      </c>
      <c r="D42" t="s">
        <v>213</v>
      </c>
      <c r="E42" t="s">
        <v>16</v>
      </c>
      <c r="F42" t="s">
        <v>214</v>
      </c>
      <c r="G42" t="s">
        <v>215</v>
      </c>
      <c r="H42" t="str">
        <f t="shared" si="0"/>
        <v>no</v>
      </c>
    </row>
    <row r="43" spans="1:8" x14ac:dyDescent="0.3">
      <c r="A43">
        <v>42</v>
      </c>
      <c r="B43" t="s">
        <v>216</v>
      </c>
      <c r="C43" t="s">
        <v>217</v>
      </c>
      <c r="D43" t="s">
        <v>218</v>
      </c>
      <c r="E43" t="s">
        <v>10</v>
      </c>
      <c r="F43" t="s">
        <v>219</v>
      </c>
      <c r="G43" t="s">
        <v>220</v>
      </c>
      <c r="H43" t="str">
        <f t="shared" si="0"/>
        <v>yes</v>
      </c>
    </row>
    <row r="44" spans="1:8" x14ac:dyDescent="0.3">
      <c r="A44">
        <v>43</v>
      </c>
      <c r="B44" t="s">
        <v>221</v>
      </c>
      <c r="C44" t="s">
        <v>222</v>
      </c>
      <c r="D44" t="s">
        <v>223</v>
      </c>
      <c r="E44" t="s">
        <v>45</v>
      </c>
      <c r="F44" t="s">
        <v>224</v>
      </c>
      <c r="G44" t="s">
        <v>225</v>
      </c>
      <c r="H44" t="str">
        <f t="shared" si="0"/>
        <v>no</v>
      </c>
    </row>
    <row r="45" spans="1:8" x14ac:dyDescent="0.3">
      <c r="A45">
        <v>44</v>
      </c>
      <c r="B45" t="s">
        <v>226</v>
      </c>
      <c r="C45" t="s">
        <v>227</v>
      </c>
      <c r="D45" t="s">
        <v>228</v>
      </c>
      <c r="E45" t="s">
        <v>22</v>
      </c>
      <c r="F45" t="s">
        <v>229</v>
      </c>
      <c r="G45" t="s">
        <v>230</v>
      </c>
      <c r="H45" t="str">
        <f t="shared" si="0"/>
        <v>yes</v>
      </c>
    </row>
    <row r="46" spans="1:8" x14ac:dyDescent="0.3">
      <c r="A46">
        <v>45</v>
      </c>
      <c r="B46" t="s">
        <v>231</v>
      </c>
      <c r="C46" t="s">
        <v>232</v>
      </c>
      <c r="D46" t="s">
        <v>233</v>
      </c>
      <c r="E46" t="s">
        <v>28</v>
      </c>
      <c r="F46" t="s">
        <v>234</v>
      </c>
      <c r="G46" t="s">
        <v>235</v>
      </c>
      <c r="H46" t="str">
        <f t="shared" si="0"/>
        <v>no</v>
      </c>
    </row>
    <row r="47" spans="1:8" x14ac:dyDescent="0.3">
      <c r="A47">
        <v>46</v>
      </c>
      <c r="B47" t="s">
        <v>236</v>
      </c>
      <c r="C47" t="s">
        <v>237</v>
      </c>
      <c r="D47" t="s">
        <v>238</v>
      </c>
      <c r="E47" t="s">
        <v>10</v>
      </c>
      <c r="F47" t="s">
        <v>239</v>
      </c>
      <c r="G47" t="s">
        <v>240</v>
      </c>
      <c r="H47" t="str">
        <f t="shared" si="0"/>
        <v>yes</v>
      </c>
    </row>
    <row r="48" spans="1:8" x14ac:dyDescent="0.3">
      <c r="A48">
        <v>47</v>
      </c>
      <c r="B48" t="s">
        <v>241</v>
      </c>
      <c r="C48" t="s">
        <v>242</v>
      </c>
      <c r="D48" t="s">
        <v>243</v>
      </c>
      <c r="E48" t="s">
        <v>16</v>
      </c>
      <c r="F48" t="s">
        <v>244</v>
      </c>
      <c r="G48" t="s">
        <v>245</v>
      </c>
      <c r="H48" t="str">
        <f t="shared" si="0"/>
        <v>no</v>
      </c>
    </row>
    <row r="49" spans="1:8" x14ac:dyDescent="0.3">
      <c r="A49">
        <v>48</v>
      </c>
      <c r="B49" t="s">
        <v>246</v>
      </c>
      <c r="C49" t="s">
        <v>247</v>
      </c>
      <c r="D49" t="s">
        <v>248</v>
      </c>
      <c r="E49" t="s">
        <v>22</v>
      </c>
      <c r="F49" t="s">
        <v>249</v>
      </c>
      <c r="G49" t="s">
        <v>250</v>
      </c>
      <c r="H49" t="str">
        <f t="shared" si="0"/>
        <v>no</v>
      </c>
    </row>
    <row r="50" spans="1:8" x14ac:dyDescent="0.3">
      <c r="A50">
        <v>49</v>
      </c>
      <c r="B50" t="s">
        <v>251</v>
      </c>
      <c r="C50" t="s">
        <v>252</v>
      </c>
      <c r="D50" t="s">
        <v>253</v>
      </c>
      <c r="E50" t="s">
        <v>28</v>
      </c>
      <c r="F50" t="s">
        <v>254</v>
      </c>
      <c r="G50" t="s">
        <v>41</v>
      </c>
      <c r="H50" t="str">
        <f t="shared" si="0"/>
        <v>no</v>
      </c>
    </row>
    <row r="51" spans="1:8" x14ac:dyDescent="0.3">
      <c r="A51">
        <v>50</v>
      </c>
      <c r="B51" t="s">
        <v>255</v>
      </c>
      <c r="C51" t="s">
        <v>256</v>
      </c>
      <c r="D51" t="s">
        <v>257</v>
      </c>
      <c r="E51" t="s">
        <v>10</v>
      </c>
      <c r="F51" t="s">
        <v>258</v>
      </c>
      <c r="G51" t="s">
        <v>259</v>
      </c>
      <c r="H51" t="str">
        <f t="shared" si="0"/>
        <v>yes</v>
      </c>
    </row>
    <row r="53" spans="1:8" x14ac:dyDescent="0.3">
      <c r="A53" s="1" t="s">
        <v>260</v>
      </c>
      <c r="B53" s="1" t="s">
        <v>261</v>
      </c>
    </row>
    <row r="54" spans="1:8" x14ac:dyDescent="0.3">
      <c r="A54">
        <v>1</v>
      </c>
      <c r="B54" t="s">
        <v>262</v>
      </c>
      <c r="C54" t="str">
        <f>LEFT(B2,FIND(" ",B2)-1)</f>
        <v>Raj</v>
      </c>
    </row>
    <row r="55" spans="1:8" x14ac:dyDescent="0.3">
      <c r="A55">
        <v>2</v>
      </c>
      <c r="B55" t="s">
        <v>263</v>
      </c>
      <c r="C55" t="str">
        <f>RIGHT(B2,LEN(B2)-FIND(" ",B2))</f>
        <v>Kumar</v>
      </c>
    </row>
    <row r="56" spans="1:8" x14ac:dyDescent="0.3">
      <c r="A56">
        <v>3</v>
      </c>
      <c r="B56" t="s">
        <v>264</v>
      </c>
      <c r="C56" t="str">
        <f>UPPER(B2)</f>
        <v>RAJ KUMAR</v>
      </c>
    </row>
    <row r="57" spans="1:8" x14ac:dyDescent="0.3">
      <c r="A57">
        <v>4</v>
      </c>
      <c r="B57" t="s">
        <v>265</v>
      </c>
      <c r="C57" t="str">
        <f>PROPER(B2)</f>
        <v>Raj Kumar</v>
      </c>
    </row>
    <row r="58" spans="1:8" x14ac:dyDescent="0.3">
      <c r="A58">
        <v>5</v>
      </c>
      <c r="B58" t="s">
        <v>266</v>
      </c>
      <c r="C58">
        <f>LEN(B2)</f>
        <v>9</v>
      </c>
    </row>
    <row r="59" spans="1:8" x14ac:dyDescent="0.3">
      <c r="A59">
        <v>6</v>
      </c>
      <c r="B59" t="s">
        <v>267</v>
      </c>
      <c r="C59" t="str">
        <f>RIGHT(C2,LEN(C2)-FIND("@",C2))</f>
        <v>gmail.com</v>
      </c>
    </row>
    <row r="60" spans="1:8" x14ac:dyDescent="0.3">
      <c r="A60">
        <v>7</v>
      </c>
      <c r="B60" t="s">
        <v>268</v>
      </c>
      <c r="C60" t="str">
        <f>LEFT(C2,FIND("@",C2)-1)</f>
        <v>raj.kumar</v>
      </c>
    </row>
    <row r="61" spans="1:8" x14ac:dyDescent="0.3">
      <c r="A61">
        <v>8</v>
      </c>
      <c r="B61" t="s">
        <v>269</v>
      </c>
      <c r="C61" t="str">
        <f>RIGHT(D2,4)</f>
        <v>3210</v>
      </c>
    </row>
    <row r="62" spans="1:8" x14ac:dyDescent="0.3">
      <c r="A62">
        <v>9</v>
      </c>
      <c r="B62" t="s">
        <v>270</v>
      </c>
      <c r="C62" t="str">
        <f>REPT("#",LEN(D2))</f>
        <v>##########</v>
      </c>
    </row>
    <row r="63" spans="1:8" x14ac:dyDescent="0.3">
      <c r="A63">
        <v>10</v>
      </c>
      <c r="B63" t="s">
        <v>271</v>
      </c>
      <c r="C63" t="str">
        <f>_xlfn.CONCAT(B2,"  is in ",E2)</f>
        <v>Raj Kumar  is in Chennai</v>
      </c>
    </row>
    <row r="64" spans="1:8" x14ac:dyDescent="0.3">
      <c r="A64">
        <v>11</v>
      </c>
      <c r="B64" t="s">
        <v>272</v>
      </c>
      <c r="C64" t="str">
        <f>MID(F2,5,3)</f>
        <v>CHN</v>
      </c>
    </row>
    <row r="65" spans="1:3" x14ac:dyDescent="0.3">
      <c r="A65">
        <v>12</v>
      </c>
      <c r="B65" t="s">
        <v>273</v>
      </c>
      <c r="C65" t="str">
        <f>RIGHT(F2,4)</f>
        <v>2024</v>
      </c>
    </row>
    <row r="66" spans="1:3" x14ac:dyDescent="0.3">
      <c r="A66">
        <v>13</v>
      </c>
      <c r="B66" t="s">
        <v>274</v>
      </c>
      <c r="C66" t="str">
        <f>IF(ISNUMBER(FIND("gmail",C2)),"yes","no")</f>
        <v>yes</v>
      </c>
    </row>
    <row r="67" spans="1:3" x14ac:dyDescent="0.3">
      <c r="A67">
        <v>14</v>
      </c>
      <c r="B67" t="s">
        <v>275</v>
      </c>
      <c r="C67">
        <f>FIND("@",C2)</f>
        <v>10</v>
      </c>
    </row>
    <row r="68" spans="1:3" x14ac:dyDescent="0.3">
      <c r="A68">
        <v>15</v>
      </c>
      <c r="B68" t="s">
        <v>312</v>
      </c>
      <c r="C68" t="str">
        <f>RIGHT(C2,LEN(C2)-FIND("@",C2))</f>
        <v>gmail.com</v>
      </c>
    </row>
    <row r="69" spans="1:3" x14ac:dyDescent="0.3">
      <c r="A69">
        <v>16</v>
      </c>
      <c r="B69" t="s">
        <v>277</v>
      </c>
      <c r="C69" t="str">
        <f>UPPER(LEFT(SUBSTITUTE(A2," ",""),3) &amp; RIGHT(TEXT(D2,"0"),2))</f>
        <v>110</v>
      </c>
    </row>
    <row r="70" spans="1:3" x14ac:dyDescent="0.3">
      <c r="A70">
        <v>17</v>
      </c>
      <c r="B70" t="s">
        <v>313</v>
      </c>
      <c r="C70" t="str">
        <f>SUBSTITUTE(B2,"."," ")</f>
        <v>Raj Kumar</v>
      </c>
    </row>
    <row r="71" spans="1:3" x14ac:dyDescent="0.3">
      <c r="A71">
        <v>18</v>
      </c>
      <c r="B71" t="s">
        <v>279</v>
      </c>
      <c r="C71" t="str">
        <f>SUBSTITUTE(F2,"-"," ")</f>
        <v>EMP CHN 2024</v>
      </c>
    </row>
    <row r="72" spans="1:3" x14ac:dyDescent="0.3">
      <c r="A72">
        <v>19</v>
      </c>
      <c r="B72" t="s">
        <v>280</v>
      </c>
      <c r="C72" t="str">
        <f>LEFT(SUBSTITUTE(B2," ",""),5)</f>
        <v>RajKu</v>
      </c>
    </row>
    <row r="73" spans="1:3" x14ac:dyDescent="0.3">
      <c r="A73">
        <v>20</v>
      </c>
      <c r="B73" t="s">
        <v>281</v>
      </c>
      <c r="C73" t="str" cm="1">
        <f t="array" ref="C73">_xlfn.TEXTJOIN("",TRUE,LEFT(_xlfn.TEXTSPLIT(TRIM(B2)," "),1))</f>
        <v>RK</v>
      </c>
    </row>
    <row r="74" spans="1:3" x14ac:dyDescent="0.3">
      <c r="A74">
        <v>21</v>
      </c>
      <c r="B74" t="s">
        <v>282</v>
      </c>
      <c r="C74" t="str">
        <f>_xlfn.CONCAT(B2," in ",E2,"  and his id is  ",A2)</f>
        <v>Raj Kumar in Chennai  and his id is  1</v>
      </c>
    </row>
    <row r="75" spans="1:3" x14ac:dyDescent="0.3">
      <c r="A75">
        <v>22</v>
      </c>
      <c r="B75" t="s">
        <v>283</v>
      </c>
      <c r="C75">
        <f>LEN(SUBSTITUTE(B2," ",""))</f>
        <v>8</v>
      </c>
    </row>
    <row r="76" spans="1:3" x14ac:dyDescent="0.3">
      <c r="A76">
        <v>23</v>
      </c>
      <c r="B76" t="s">
        <v>284</v>
      </c>
      <c r="C76" t="str">
        <f>IFERROR(MID(G2,FIND("(",G2)+1, FIND(")",G2,FIND("(",G2)) - FIND("(",G2) - 1), "No")</f>
        <v>No</v>
      </c>
    </row>
    <row r="77" spans="1:3" x14ac:dyDescent="0.3">
      <c r="A77">
        <v>24</v>
      </c>
      <c r="B77" t="s">
        <v>285</v>
      </c>
      <c r="C77" t="str">
        <f>SUBSTITUTE(F2,"EMP-","")</f>
        <v>CHN-2024</v>
      </c>
    </row>
    <row r="78" spans="1:3" x14ac:dyDescent="0.3">
      <c r="A78">
        <v>25</v>
      </c>
      <c r="B78" t="s">
        <v>286</v>
      </c>
      <c r="C78" t="str">
        <f>IF(TRIM(G2)="","", UPPER(LEFT(TRIM(2),1)) &amp; LOWER(MID(TRIM(G2),2,999)))</f>
        <v>2spiring for promotion</v>
      </c>
    </row>
    <row r="79" spans="1:3" x14ac:dyDescent="0.3">
      <c r="A79">
        <v>26</v>
      </c>
      <c r="B79" t="s">
        <v>287</v>
      </c>
      <c r="C79" t="str">
        <f>TRIM(RIGHT(SUBSTITUTE(TRIM(G2)," ",REPT(" ",100)),100))</f>
        <v>promotion</v>
      </c>
    </row>
    <row r="80" spans="1:3" x14ac:dyDescent="0.3">
      <c r="A80">
        <v>27</v>
      </c>
      <c r="B80" t="s">
        <v>288</v>
      </c>
      <c r="C80" t="str">
        <f>LEFT(C2, LEN(C2) - (LEN(C2) - FIND("@",C2)) - (LEN(RIGHT(C2,LEN(C2)-FIND("@",C2))) - FIND(".", RIGHT(C2,LEN(C2)-FIND("@",C2)))) )</f>
        <v>raj.kum</v>
      </c>
    </row>
    <row r="81" spans="1:3" x14ac:dyDescent="0.3">
      <c r="A81">
        <v>28</v>
      </c>
      <c r="B81" t="s">
        <v>289</v>
      </c>
      <c r="C81" t="str" cm="1">
        <f t="array" aca="1" ref="C81" ca="1">_xlfn.TEXTJOIN("",TRUE, MID(B2, LEN(B2)-ROW(INDIRECT("1:"&amp;LEN(B2)))+1,1))</f>
        <v>ramuK jaR</v>
      </c>
    </row>
    <row r="82" spans="1:3" x14ac:dyDescent="0.3">
      <c r="A82">
        <v>29</v>
      </c>
      <c r="B82" t="s">
        <v>290</v>
      </c>
      <c r="C82" cm="1">
        <f t="array" ref="C82">SUMPRODUCT(LEN(B2) - LEN(SUBSTITUTE(LOWER(B2), {"a","e","i","o","u"}, "")))</f>
        <v>3</v>
      </c>
    </row>
    <row r="83" spans="1:3" x14ac:dyDescent="0.3">
      <c r="A83">
        <v>30</v>
      </c>
      <c r="B83" t="s">
        <v>291</v>
      </c>
      <c r="C83" t="str">
        <f>IFERROR(TRIM(MID(SUBSTITUTE(TRIM(G2)," ",REPT(" ",100)),101,100)),"")</f>
        <v>for</v>
      </c>
    </row>
    <row r="84" spans="1:3" x14ac:dyDescent="0.3">
      <c r="A84">
        <v>31</v>
      </c>
      <c r="B84" t="s">
        <v>292</v>
      </c>
      <c r="C84" t="str">
        <f>MID(F2,5,3)</f>
        <v>CHN</v>
      </c>
    </row>
    <row r="85" spans="1:3" x14ac:dyDescent="0.3">
      <c r="A85">
        <v>32</v>
      </c>
      <c r="B85" t="s">
        <v>293</v>
      </c>
      <c r="C85" t="str">
        <f>LOWER(SUBSTITUTE(A2," ","") &amp; (LEFT(SUBSTITUTE(A2," ",""),3) &amp; RIGHT(TEXT(B2,"0"),2)))</f>
        <v>11ar</v>
      </c>
    </row>
    <row r="86" spans="1:3" x14ac:dyDescent="0.3">
      <c r="A86">
        <v>33</v>
      </c>
      <c r="B86" t="s">
        <v>294</v>
      </c>
      <c r="C86" t="str" cm="1">
        <f t="array" ref="C86">_xlfn.TEXTJOIN("",TRUE,IFERROR(_xlfn._xlws.FILTER(MID(F2,_xlfn.SEQUENCE(LEN(F2)),1),NOT(ISNUMBER(--MID(F2,_xlfn.SEQUENCE(LEN(F2)),1)))), ""))</f>
        <v>EMP-CHN-</v>
      </c>
    </row>
    <row r="87" spans="1:3" x14ac:dyDescent="0.3">
      <c r="A87">
        <v>34</v>
      </c>
      <c r="B87" t="s">
        <v>295</v>
      </c>
      <c r="C87" t="str" cm="1">
        <f t="array" ref="C87">_xlfn.TEXTJOIN("",TRUE,F2,IFERROR(_xlfn._xlws.FILTER(MID(F2,_xlfn.SEQUENCE(LEN(F2)),1),ISNUMBER(--MID(F2,_xlfn.SEQUENCE(LEN(F2)),1))),""))</f>
        <v>EMP-CHN-20242024</v>
      </c>
    </row>
    <row r="88" spans="1:3" x14ac:dyDescent="0.3">
      <c r="A88">
        <v>35</v>
      </c>
      <c r="B88" t="s">
        <v>296</v>
      </c>
      <c r="C88" t="b">
        <f>LEN(SUBSTITUTE(B2," ",""))&gt;10</f>
        <v>0</v>
      </c>
    </row>
    <row r="89" spans="1:3" x14ac:dyDescent="0.3">
      <c r="A89">
        <v>36</v>
      </c>
      <c r="B89" t="s">
        <v>297</v>
      </c>
      <c r="C89" t="str" cm="1">
        <f t="array" ref="C89">_xlfn.LET(_xlpm.u,LEFT(C2,FIND("@",C2)-1), _xlfn.TEXTJOIN("",TRUE,IFERROR(_xlfn._xlws.FILTER(MID(_xlpm.u,_xlfn.SEQUENCE(LEN(_xlpm.u)),1),NOT(ISNUMBER(--MID(_xlpm.u,_xlfn.SEQUENCE(LEN(_xlpm.u)),1)))), "")))</f>
        <v>raj.kumar</v>
      </c>
    </row>
    <row r="90" spans="1:3" x14ac:dyDescent="0.3">
      <c r="A90">
        <v>37</v>
      </c>
      <c r="B90" t="s">
        <v>298</v>
      </c>
      <c r="C90" t="str" cm="1">
        <f t="array" ref="C90">_xlfn.TEXTJOIN("",TRUE,IFERROR(_xlfn._xlws.FILTER(MID(TEXT(D2,"@"),_xlfn.SEQUENCE(LEN(TEXT(D2,"@"))),1),ISNUMBER(--MID(TEXT(D2,"@"),_xlfn.SEQUENCE(LEN(TEXT(D2,"@"))),1))),""))</f>
        <v>9876543210</v>
      </c>
    </row>
    <row r="91" spans="1:3" x14ac:dyDescent="0.3">
      <c r="A91">
        <v>38</v>
      </c>
      <c r="B91" t="s">
        <v>299</v>
      </c>
      <c r="C91" t="str">
        <f>IFERROR(LEFT(C2,1) &amp; REPT("*", MAX(0, LEN(LEFT(C2,FIND("@",C2)-1)) - 2)) &amp; RIGHT(LEFT(C2,FIND("@",C2)-1),1) &amp; MID(C2,FIND("@",C2),999), C2)</f>
        <v>r*******r@gmail.com</v>
      </c>
    </row>
    <row r="92" spans="1:3" x14ac:dyDescent="0.3">
      <c r="A92">
        <v>39</v>
      </c>
      <c r="B92" t="s">
        <v>300</v>
      </c>
      <c r="C92" t="str">
        <f>LOWER(LEFT(SUBSTITUTE(B2," ",""),4) &amp; RIGHT(TEXT(B2,"0"),4))</f>
        <v>rajkumar</v>
      </c>
    </row>
    <row r="93" spans="1:3" x14ac:dyDescent="0.3">
      <c r="A93">
        <v>40</v>
      </c>
      <c r="B93" t="s">
        <v>301</v>
      </c>
      <c r="C93" t="str">
        <f>_xlfn.LET(_xlpm.first,LEFT(B2,FIND(" ",B2&amp;" ")-1), _xlpm.last, TRIM(RIGHT(SUBSTITUTE(B2," ",REPT(" ",100)),100)), _xlpm.first &amp; " " &amp; PROPER(_xlpm.last))</f>
        <v>Raj Kumar</v>
      </c>
    </row>
    <row r="94" spans="1:3" x14ac:dyDescent="0.3">
      <c r="A94">
        <v>41</v>
      </c>
      <c r="B94" t="s">
        <v>302</v>
      </c>
      <c r="C94" t="str">
        <f>E2 &amp; RIGHT(TEXT(D2,"0"),3)</f>
        <v>Chennai210</v>
      </c>
    </row>
    <row r="95" spans="1:3" x14ac:dyDescent="0.3">
      <c r="A95">
        <v>42</v>
      </c>
      <c r="B95" t="s">
        <v>303</v>
      </c>
      <c r="C95" t="str">
        <f>_xlfn.LET(_xlpm.s,TRIM(E2), _xlpm.n,LEN(_xlpm.s), IF(MOD(_xlpm.n,2)=1, MID(_xlpm.s, (_xlpm.n+1)/2,1), MID(_xlpm.s, _xlpm.n/2,2)))</f>
        <v>n</v>
      </c>
    </row>
    <row r="96" spans="1:3" x14ac:dyDescent="0.3">
      <c r="A96">
        <v>43</v>
      </c>
      <c r="B96" t="s">
        <v>304</v>
      </c>
      <c r="C96" t="str">
        <f>SUBSTITUTE(E2, E2, UPPER(E2))</f>
        <v>CHENNAI</v>
      </c>
    </row>
    <row r="97" spans="1:3" x14ac:dyDescent="0.3">
      <c r="A97">
        <v>44</v>
      </c>
      <c r="B97" t="s">
        <v>305</v>
      </c>
      <c r="C97" t="str" cm="1">
        <f t="array" ref="C97">_xlfn.TEXTJOIN("",TRUE,LEFT(_xlfn.TEXTSPLIT(TRIM(G2)," "),1))</f>
        <v>Afp</v>
      </c>
    </row>
    <row r="98" spans="1:3" x14ac:dyDescent="0.3">
      <c r="A98">
        <v>45</v>
      </c>
      <c r="B98" t="s">
        <v>306</v>
      </c>
    </row>
    <row r="99" spans="1:3" x14ac:dyDescent="0.3">
      <c r="A99">
        <v>46</v>
      </c>
      <c r="B99" t="s">
        <v>307</v>
      </c>
      <c r="C99" t="b">
        <f>ISNUMBER(FIND(".",B2))</f>
        <v>0</v>
      </c>
    </row>
    <row r="100" spans="1:3" x14ac:dyDescent="0.3">
      <c r="A100">
        <v>47</v>
      </c>
      <c r="B100" t="s">
        <v>308</v>
      </c>
      <c r="C100" t="str">
        <f>LEFT(B2, FIND(" ", B2 &amp; " ") - 1)</f>
        <v>Raj</v>
      </c>
    </row>
    <row r="101" spans="1:3" x14ac:dyDescent="0.3">
      <c r="A101">
        <v>48</v>
      </c>
      <c r="B101" t="s">
        <v>309</v>
      </c>
      <c r="C101" t="str">
        <f>TRIM(RIGHT(SUBSTITUTE(TRIM(B2)," ",REPT(" ",100)),100))</f>
        <v>Kumar</v>
      </c>
    </row>
    <row r="102" spans="1:3" x14ac:dyDescent="0.3">
      <c r="A102">
        <v>49</v>
      </c>
      <c r="B102" t="s">
        <v>310</v>
      </c>
      <c r="C102" t="str">
        <f>"+91" &amp; RIGHT(SUBSTITUTE(SUBSTITUTE(SUBSTITUTE(SUBSTITUTE(D2," ",""),"-",""),"(",""),")",""),10)</f>
        <v>+919876543210</v>
      </c>
    </row>
    <row r="103" spans="1:3" x14ac:dyDescent="0.3">
      <c r="A103">
        <v>50</v>
      </c>
      <c r="B103" t="s">
        <v>311</v>
      </c>
      <c r="C103">
        <f>IF(TRIM(G2)="",0, LEN(TRIM(G2)) - LEN(SUBSTITUTE(TRIM(G2)," ","")) + 1)</f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24" workbookViewId="0">
      <selection sqref="A1:B51"/>
    </sheetView>
  </sheetViews>
  <sheetFormatPr defaultRowHeight="14.4" x14ac:dyDescent="0.3"/>
  <cols>
    <col min="1" max="1" width="3.77734375" bestFit="1" customWidth="1"/>
    <col min="2" max="2" width="48.77734375" customWidth="1"/>
  </cols>
  <sheetData>
    <row r="1" spans="1:5" x14ac:dyDescent="0.3">
      <c r="A1" s="1" t="s">
        <v>260</v>
      </c>
      <c r="B1" s="1" t="s">
        <v>261</v>
      </c>
      <c r="C1" s="1"/>
      <c r="D1" s="1"/>
      <c r="E1" s="1"/>
    </row>
    <row r="2" spans="1:5" x14ac:dyDescent="0.3">
      <c r="A2">
        <v>1</v>
      </c>
      <c r="B2" t="s">
        <v>262</v>
      </c>
      <c r="C2">
        <f>Dataset!A2</f>
        <v>1</v>
      </c>
    </row>
    <row r="3" spans="1:5" x14ac:dyDescent="0.3">
      <c r="A3">
        <v>2</v>
      </c>
      <c r="B3" t="s">
        <v>263</v>
      </c>
    </row>
    <row r="4" spans="1:5" x14ac:dyDescent="0.3">
      <c r="A4">
        <v>3</v>
      </c>
      <c r="B4" t="s">
        <v>264</v>
      </c>
    </row>
    <row r="5" spans="1:5" x14ac:dyDescent="0.3">
      <c r="A5">
        <v>4</v>
      </c>
      <c r="B5" t="s">
        <v>265</v>
      </c>
    </row>
    <row r="6" spans="1:5" x14ac:dyDescent="0.3">
      <c r="A6">
        <v>5</v>
      </c>
      <c r="B6" t="s">
        <v>266</v>
      </c>
    </row>
    <row r="7" spans="1:5" x14ac:dyDescent="0.3">
      <c r="A7">
        <v>6</v>
      </c>
      <c r="B7" t="s">
        <v>267</v>
      </c>
    </row>
    <row r="8" spans="1:5" x14ac:dyDescent="0.3">
      <c r="A8">
        <v>7</v>
      </c>
      <c r="B8" t="s">
        <v>268</v>
      </c>
    </row>
    <row r="9" spans="1:5" x14ac:dyDescent="0.3">
      <c r="A9">
        <v>8</v>
      </c>
      <c r="B9" t="s">
        <v>269</v>
      </c>
    </row>
    <row r="10" spans="1:5" x14ac:dyDescent="0.3">
      <c r="A10">
        <v>9</v>
      </c>
      <c r="B10" t="s">
        <v>270</v>
      </c>
    </row>
    <row r="11" spans="1:5" x14ac:dyDescent="0.3">
      <c r="A11">
        <v>10</v>
      </c>
      <c r="B11" t="s">
        <v>271</v>
      </c>
    </row>
    <row r="12" spans="1:5" x14ac:dyDescent="0.3">
      <c r="A12">
        <v>11</v>
      </c>
      <c r="B12" t="s">
        <v>272</v>
      </c>
    </row>
    <row r="13" spans="1:5" x14ac:dyDescent="0.3">
      <c r="A13">
        <v>12</v>
      </c>
      <c r="B13" t="s">
        <v>273</v>
      </c>
    </row>
    <row r="14" spans="1:5" x14ac:dyDescent="0.3">
      <c r="A14">
        <v>13</v>
      </c>
      <c r="B14" t="s">
        <v>274</v>
      </c>
    </row>
    <row r="15" spans="1:5" x14ac:dyDescent="0.3">
      <c r="A15">
        <v>14</v>
      </c>
      <c r="B15" t="s">
        <v>275</v>
      </c>
    </row>
    <row r="16" spans="1:5" x14ac:dyDescent="0.3">
      <c r="A16">
        <v>15</v>
      </c>
      <c r="B16" t="s">
        <v>276</v>
      </c>
    </row>
    <row r="17" spans="1:2" x14ac:dyDescent="0.3">
      <c r="A17">
        <v>16</v>
      </c>
      <c r="B17" t="s">
        <v>277</v>
      </c>
    </row>
    <row r="18" spans="1:2" x14ac:dyDescent="0.3">
      <c r="A18">
        <v>17</v>
      </c>
      <c r="B18" t="s">
        <v>278</v>
      </c>
    </row>
    <row r="19" spans="1:2" x14ac:dyDescent="0.3">
      <c r="A19">
        <v>18</v>
      </c>
      <c r="B19" t="s">
        <v>279</v>
      </c>
    </row>
    <row r="20" spans="1:2" x14ac:dyDescent="0.3">
      <c r="A20">
        <v>19</v>
      </c>
      <c r="B20" t="s">
        <v>280</v>
      </c>
    </row>
    <row r="21" spans="1:2" x14ac:dyDescent="0.3">
      <c r="A21">
        <v>20</v>
      </c>
      <c r="B21" t="s">
        <v>281</v>
      </c>
    </row>
    <row r="22" spans="1:2" x14ac:dyDescent="0.3">
      <c r="A22">
        <v>21</v>
      </c>
      <c r="B22" t="s">
        <v>282</v>
      </c>
    </row>
    <row r="23" spans="1:2" x14ac:dyDescent="0.3">
      <c r="A23">
        <v>22</v>
      </c>
      <c r="B23" t="s">
        <v>283</v>
      </c>
    </row>
    <row r="24" spans="1:2" x14ac:dyDescent="0.3">
      <c r="A24">
        <v>23</v>
      </c>
      <c r="B24" t="s">
        <v>284</v>
      </c>
    </row>
    <row r="25" spans="1:2" x14ac:dyDescent="0.3">
      <c r="A25">
        <v>24</v>
      </c>
      <c r="B25" t="s">
        <v>285</v>
      </c>
    </row>
    <row r="26" spans="1:2" x14ac:dyDescent="0.3">
      <c r="A26">
        <v>25</v>
      </c>
      <c r="B26" t="s">
        <v>286</v>
      </c>
    </row>
    <row r="27" spans="1:2" x14ac:dyDescent="0.3">
      <c r="A27">
        <v>26</v>
      </c>
      <c r="B27" t="s">
        <v>287</v>
      </c>
    </row>
    <row r="28" spans="1:2" x14ac:dyDescent="0.3">
      <c r="A28">
        <v>27</v>
      </c>
      <c r="B28" t="s">
        <v>288</v>
      </c>
    </row>
    <row r="29" spans="1:2" x14ac:dyDescent="0.3">
      <c r="A29">
        <v>28</v>
      </c>
      <c r="B29" t="s">
        <v>289</v>
      </c>
    </row>
    <row r="30" spans="1:2" x14ac:dyDescent="0.3">
      <c r="A30">
        <v>29</v>
      </c>
      <c r="B30" t="s">
        <v>290</v>
      </c>
    </row>
    <row r="31" spans="1:2" x14ac:dyDescent="0.3">
      <c r="A31">
        <v>30</v>
      </c>
      <c r="B31" t="s">
        <v>291</v>
      </c>
    </row>
    <row r="32" spans="1:2" x14ac:dyDescent="0.3">
      <c r="A32">
        <v>31</v>
      </c>
      <c r="B32" t="s">
        <v>292</v>
      </c>
    </row>
    <row r="33" spans="1:2" x14ac:dyDescent="0.3">
      <c r="A33">
        <v>32</v>
      </c>
      <c r="B33" t="s">
        <v>293</v>
      </c>
    </row>
    <row r="34" spans="1:2" x14ac:dyDescent="0.3">
      <c r="A34">
        <v>33</v>
      </c>
      <c r="B34" t="s">
        <v>294</v>
      </c>
    </row>
    <row r="35" spans="1:2" x14ac:dyDescent="0.3">
      <c r="A35">
        <v>34</v>
      </c>
      <c r="B35" t="s">
        <v>295</v>
      </c>
    </row>
    <row r="36" spans="1:2" x14ac:dyDescent="0.3">
      <c r="A36">
        <v>35</v>
      </c>
      <c r="B36" t="s">
        <v>296</v>
      </c>
    </row>
    <row r="37" spans="1:2" x14ac:dyDescent="0.3">
      <c r="A37">
        <v>36</v>
      </c>
      <c r="B37" t="s">
        <v>297</v>
      </c>
    </row>
    <row r="38" spans="1:2" x14ac:dyDescent="0.3">
      <c r="A38">
        <v>37</v>
      </c>
      <c r="B38" t="s">
        <v>298</v>
      </c>
    </row>
    <row r="39" spans="1:2" x14ac:dyDescent="0.3">
      <c r="A39">
        <v>38</v>
      </c>
      <c r="B39" t="s">
        <v>299</v>
      </c>
    </row>
    <row r="40" spans="1:2" x14ac:dyDescent="0.3">
      <c r="A40">
        <v>39</v>
      </c>
      <c r="B40" t="s">
        <v>300</v>
      </c>
    </row>
    <row r="41" spans="1:2" x14ac:dyDescent="0.3">
      <c r="A41">
        <v>40</v>
      </c>
      <c r="B41" t="s">
        <v>301</v>
      </c>
    </row>
    <row r="42" spans="1:2" x14ac:dyDescent="0.3">
      <c r="A42">
        <v>41</v>
      </c>
      <c r="B42" t="s">
        <v>302</v>
      </c>
    </row>
    <row r="43" spans="1:2" x14ac:dyDescent="0.3">
      <c r="A43">
        <v>42</v>
      </c>
      <c r="B43" t="s">
        <v>303</v>
      </c>
    </row>
    <row r="44" spans="1:2" x14ac:dyDescent="0.3">
      <c r="A44">
        <v>43</v>
      </c>
      <c r="B44" t="s">
        <v>304</v>
      </c>
    </row>
    <row r="45" spans="1:2" x14ac:dyDescent="0.3">
      <c r="A45">
        <v>44</v>
      </c>
      <c r="B45" t="s">
        <v>305</v>
      </c>
    </row>
    <row r="46" spans="1:2" x14ac:dyDescent="0.3">
      <c r="A46">
        <v>45</v>
      </c>
      <c r="B46" t="s">
        <v>306</v>
      </c>
    </row>
    <row r="47" spans="1:2" x14ac:dyDescent="0.3">
      <c r="A47">
        <v>46</v>
      </c>
      <c r="B47" t="s">
        <v>307</v>
      </c>
    </row>
    <row r="48" spans="1:2" x14ac:dyDescent="0.3">
      <c r="A48">
        <v>47</v>
      </c>
      <c r="B48" t="s">
        <v>308</v>
      </c>
    </row>
    <row r="49" spans="1:2" x14ac:dyDescent="0.3">
      <c r="A49">
        <v>48</v>
      </c>
      <c r="B49" t="s">
        <v>309</v>
      </c>
    </row>
    <row r="50" spans="1:2" x14ac:dyDescent="0.3">
      <c r="A50">
        <v>49</v>
      </c>
      <c r="B50" t="s">
        <v>310</v>
      </c>
    </row>
    <row r="51" spans="1:2" x14ac:dyDescent="0.3">
      <c r="A51">
        <v>50</v>
      </c>
      <c r="B51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2025-11-18T08:43:53Z</dcterms:created>
  <dcterms:modified xsi:type="dcterms:W3CDTF">2025-11-20T09:16:37Z</dcterms:modified>
</cp:coreProperties>
</file>