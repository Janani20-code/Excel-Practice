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13_ncr:1_{395939C0-7DE4-4D25-8A94-4B9F7C8BD6BD}" xr6:coauthVersionLast="47" xr6:coauthVersionMax="47" xr10:uidLastSave="{00000000-0000-0000-0000-000000000000}"/>
  <bookViews>
    <workbookView xWindow="-108" yWindow="-108" windowWidth="23256" windowHeight="13896" activeTab="4" xr2:uid="{C7D44672-71A5-4AB0-A68F-37522DBC1C09}"/>
  </bookViews>
  <sheets>
    <sheet name="problem1" sheetId="2" r:id="rId1"/>
    <sheet name="Scenario Summary1 " sheetId="5" r:id="rId2"/>
    <sheet name="problem2" sheetId="6" r:id="rId3"/>
    <sheet name="Scenario Summary2" sheetId="9" r:id="rId4"/>
    <sheet name="problem3" sheetId="12" r:id="rId5"/>
    <sheet name="Scenario Summary3" sheetId="13" r:id="rId6"/>
    <sheet name="problem4" sheetId="14" r:id="rId7"/>
    <sheet name="Scenario Summary4" sheetId="18" r:id="rId8"/>
    <sheet name="problem5" sheetId="15" r:id="rId9"/>
    <sheet name="Scenario Summary5" sheetId="21" r:id="rId10"/>
    <sheet name="problem6" sheetId="19" r:id="rId11"/>
    <sheet name="Scenario Summary6" sheetId="24" r:id="rId12"/>
    <sheet name="problem7" sheetId="22" r:id="rId13"/>
    <sheet name="Scenario Summary7" sheetId="25" r:id="rId14"/>
    <sheet name="problem8" sheetId="23" r:id="rId15"/>
    <sheet name="Scenario Summary8" sheetId="26" r:id="rId16"/>
  </sheets>
  <definedNames>
    <definedName name="Asha">problem2!$B$2:$D$2</definedName>
    <definedName name="change">problem7!$B$2</definedName>
    <definedName name="Cost_Price">problem1!$B$2</definedName>
    <definedName name="Current_Fee">problem7!$B$1</definedName>
    <definedName name="Current_Salary">problem2!$B$2:$B$3</definedName>
    <definedName name="Current_Sales">problem5!$B$1</definedName>
    <definedName name="emi">problem4!$B$4</definedName>
    <definedName name="Employee">problem2!$B$2:$D$3</definedName>
    <definedName name="final_fees">problem7!$B$3</definedName>
    <definedName name="Food">problem3!$B$3</definedName>
    <definedName name="growth_rate">problem5!$B$2</definedName>
    <definedName name="Hike_Increases">problem2!$C$2:$C$3</definedName>
    <definedName name="interest">problem4!$B$3</definedName>
    <definedName name="Investment">problem8!$B$1</definedName>
    <definedName name="Labour">problem6!$B$3</definedName>
    <definedName name="Loan_Amount">problem4!$B$1</definedName>
    <definedName name="Material">problem6!$B$2</definedName>
    <definedName name="next_year_sale">problem5!$B$3</definedName>
    <definedName name="Overheads">problem6!$B$4</definedName>
    <definedName name="Profit">problem8!$B$3</definedName>
    <definedName name="Quantity">problem1!$B$4</definedName>
    <definedName name="Ravi">problem2!$B$3:$D$3</definedName>
    <definedName name="Rent">problem3!$B$2</definedName>
    <definedName name="ROI">problem8!$B$2</definedName>
    <definedName name="Savings">problem3!$B$5</definedName>
    <definedName name="Selling_Price">problem1!$B$3</definedName>
    <definedName name="Total" localSheetId="2">problem2!$D$2:$D$3</definedName>
    <definedName name="Total">problem1!$B$5</definedName>
    <definedName name="Total_Cost">problem6!$B$5</definedName>
    <definedName name="Total_Month_Spending">problem3!$B$6</definedName>
    <definedName name="Transport">problem3!$B$4</definedName>
    <definedName name="Years">problem4!$B$2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3" l="1"/>
  <c r="B3" i="22"/>
  <c r="B5" i="19"/>
  <c r="B3" i="15"/>
  <c r="B4" i="14"/>
  <c r="B6" i="12"/>
  <c r="B5" i="2"/>
</calcChain>
</file>

<file path=xl/sharedStrings.xml><?xml version="1.0" encoding="utf-8"?>
<sst xmlns="http://schemas.openxmlformats.org/spreadsheetml/2006/main" count="200" uniqueCount="115">
  <si>
    <t>Value</t>
  </si>
  <si>
    <t>Current Salary</t>
  </si>
  <si>
    <t>Category</t>
  </si>
  <si>
    <t>Amount</t>
  </si>
  <si>
    <t>Quantity</t>
  </si>
  <si>
    <t>Item</t>
  </si>
  <si>
    <t>Cost Price</t>
  </si>
  <si>
    <t>Selling Price</t>
  </si>
  <si>
    <t>worst case</t>
  </si>
  <si>
    <t>Created by janani on 26-11-2025</t>
  </si>
  <si>
    <t>best case</t>
  </si>
  <si>
    <t>moderate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</si>
  <si>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</si>
  <si>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</si>
  <si>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</si>
  <si>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</si>
  <si>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</si>
  <si>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</si>
  <si>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</si>
  <si>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Total</t>
  </si>
  <si>
    <t>Created by janani on 26-11-2025
Modified by janani on 26-11-2025</t>
  </si>
  <si>
    <t>Cost_Price</t>
  </si>
  <si>
    <t>Selling_Price</t>
  </si>
  <si>
    <t>Employee</t>
  </si>
  <si>
    <t>Asha</t>
  </si>
  <si>
    <t>Ravi</t>
  </si>
  <si>
    <r>
      <t>Low Hike:</t>
    </r>
    <r>
      <rPr>
        <sz val="12"/>
        <color theme="1"/>
        <rFont val="Times New Roman"/>
        <family val="1"/>
      </rPr>
      <t xml:space="preserve"> 5% increase</t>
    </r>
  </si>
  <si>
    <r>
      <t>Medium Hike:</t>
    </r>
    <r>
      <rPr>
        <sz val="12"/>
        <color theme="1"/>
        <rFont val="Times New Roman"/>
        <family val="1"/>
      </rPr>
      <t xml:space="preserve"> 10% increase</t>
    </r>
  </si>
  <si>
    <r>
      <t>High Hike:</t>
    </r>
    <r>
      <rPr>
        <sz val="12"/>
        <color theme="1"/>
        <rFont val="Times New Roman"/>
        <family val="1"/>
      </rPr>
      <t xml:space="preserve"> 20% increase</t>
    </r>
  </si>
  <si>
    <t>Hike Increases</t>
  </si>
  <si>
    <t xml:space="preserve">Total </t>
  </si>
  <si>
    <t>$C$2</t>
  </si>
  <si>
    <t>$C$3</t>
  </si>
  <si>
    <t>$D$2</t>
  </si>
  <si>
    <t>$D$3</t>
  </si>
  <si>
    <t>Low Hike</t>
  </si>
  <si>
    <t>Medium Hike</t>
  </si>
  <si>
    <t>High Hike</t>
  </si>
  <si>
    <t>Rent</t>
  </si>
  <si>
    <t>Food</t>
  </si>
  <si>
    <t>Transport</t>
  </si>
  <si>
    <t>Savings</t>
  </si>
  <si>
    <r>
      <t>Normal Month:</t>
    </r>
    <r>
      <rPr>
        <sz val="12"/>
        <color theme="1"/>
        <rFont val="Times New Roman"/>
        <family val="1"/>
      </rPr>
      <t xml:space="preserve"> No change</t>
    </r>
  </si>
  <si>
    <r>
      <t>Festival Month:</t>
    </r>
    <r>
      <rPr>
        <sz val="12"/>
        <color theme="1"/>
        <rFont val="Times New Roman"/>
        <family val="1"/>
      </rPr>
      <t xml:space="preserve"> Food +3000, Transport +1000</t>
    </r>
  </si>
  <si>
    <r>
      <t>Cost-Saving Month:</t>
    </r>
    <r>
      <rPr>
        <sz val="12"/>
        <color theme="1"/>
        <rFont val="Times New Roman"/>
        <family val="1"/>
      </rPr>
      <t xml:space="preserve"> Reduce Food by 2000, Transport by 500</t>
    </r>
  </si>
  <si>
    <t>Total Month Spending</t>
  </si>
  <si>
    <t>Total_Month_Spending</t>
  </si>
  <si>
    <t>Normal Month</t>
  </si>
  <si>
    <t>Festival Month</t>
  </si>
  <si>
    <t>Cost-Saving Month</t>
  </si>
  <si>
    <r>
      <t>Low Interest:</t>
    </r>
    <r>
      <rPr>
        <sz val="12"/>
        <color theme="1"/>
        <rFont val="Times New Roman"/>
        <family val="1"/>
      </rPr>
      <t xml:space="preserve"> 8%</t>
    </r>
  </si>
  <si>
    <r>
      <t>Medium Interest:</t>
    </r>
    <r>
      <rPr>
        <sz val="12"/>
        <color theme="1"/>
        <rFont val="Times New Roman"/>
        <family val="1"/>
      </rPr>
      <t xml:space="preserve"> 10%</t>
    </r>
  </si>
  <si>
    <r>
      <t>High Interest:</t>
    </r>
    <r>
      <rPr>
        <sz val="12"/>
        <color theme="1"/>
        <rFont val="Times New Roman"/>
        <family val="1"/>
      </rPr>
      <t xml:space="preserve"> 12%</t>
    </r>
  </si>
  <si>
    <t xml:space="preserve">Years </t>
  </si>
  <si>
    <t xml:space="preserve">Loan Amount </t>
  </si>
  <si>
    <t>interest</t>
  </si>
  <si>
    <t>emi</t>
  </si>
  <si>
    <t>Low interest</t>
  </si>
  <si>
    <t>Created by janani on 27-11-2025</t>
  </si>
  <si>
    <t>Medium interest</t>
  </si>
  <si>
    <t>High interest</t>
  </si>
  <si>
    <t>Created by janani on 27-11-2025
Modified by janani on 27-11-2025</t>
  </si>
  <si>
    <t>Loan_Amount</t>
  </si>
  <si>
    <t>Years</t>
  </si>
  <si>
    <t>Current Sales</t>
  </si>
  <si>
    <r>
      <t>Optimistic:</t>
    </r>
    <r>
      <rPr>
        <sz val="12"/>
        <color theme="1"/>
        <rFont val="Times New Roman"/>
        <family val="1"/>
      </rPr>
      <t xml:space="preserve"> +20%</t>
    </r>
  </si>
  <si>
    <r>
      <t>Expected:</t>
    </r>
    <r>
      <rPr>
        <sz val="12"/>
        <color theme="1"/>
        <rFont val="Times New Roman"/>
        <family val="1"/>
      </rPr>
      <t xml:space="preserve"> +10%</t>
    </r>
  </si>
  <si>
    <r>
      <t>Pessimistic:</t>
    </r>
    <r>
      <rPr>
        <sz val="12"/>
        <color theme="1"/>
        <rFont val="Times New Roman"/>
        <family val="1"/>
      </rPr>
      <t xml:space="preserve"> –5%</t>
    </r>
  </si>
  <si>
    <t>growth rate</t>
  </si>
  <si>
    <t>next year sale</t>
  </si>
  <si>
    <t>growth_rate</t>
  </si>
  <si>
    <t>next_year_sale</t>
  </si>
  <si>
    <t>optimistic</t>
  </si>
  <si>
    <t>expected</t>
  </si>
  <si>
    <t>pessimistic</t>
  </si>
  <si>
    <t>Current_Sales</t>
  </si>
  <si>
    <t>Component</t>
  </si>
  <si>
    <t>Cost</t>
  </si>
  <si>
    <t>Material</t>
  </si>
  <si>
    <t>Labour</t>
  </si>
  <si>
    <t>Overheads</t>
  </si>
  <si>
    <t>Task:</t>
  </si>
  <si>
    <t>Create scenarios:</t>
  </si>
  <si>
    <r>
      <t>Material Price Increase:</t>
    </r>
    <r>
      <rPr>
        <sz val="12"/>
        <color theme="1"/>
        <rFont val="Times New Roman"/>
        <family val="1"/>
      </rPr>
      <t xml:space="preserve"> Material = 60</t>
    </r>
  </si>
  <si>
    <r>
      <t>Labour Cost Increase:</t>
    </r>
    <r>
      <rPr>
        <sz val="12"/>
        <color theme="1"/>
        <rFont val="Times New Roman"/>
        <family val="1"/>
      </rPr>
      <t xml:space="preserve"> Labour = 40</t>
    </r>
  </si>
  <si>
    <r>
      <t>Both Increase:</t>
    </r>
    <r>
      <rPr>
        <sz val="12"/>
        <color theme="1"/>
        <rFont val="Times New Roman"/>
        <family val="1"/>
      </rPr>
      <t xml:space="preserve"> Material 60, Labour 40</t>
    </r>
  </si>
  <si>
    <t>Total Cost</t>
  </si>
  <si>
    <t>Total_Cost</t>
  </si>
  <si>
    <t>Material price increases</t>
  </si>
  <si>
    <t>Labour cost increases</t>
  </si>
  <si>
    <t>Both increases</t>
  </si>
  <si>
    <t>Make scenarios:</t>
  </si>
  <si>
    <r>
      <t>Government Regulation:</t>
    </r>
    <r>
      <rPr>
        <sz val="12"/>
        <color theme="1"/>
        <rFont val="Times New Roman"/>
        <family val="1"/>
      </rPr>
      <t xml:space="preserve"> fee +5%</t>
    </r>
  </si>
  <si>
    <r>
      <t>Management Increase:</t>
    </r>
    <r>
      <rPr>
        <sz val="12"/>
        <color theme="1"/>
        <rFont val="Times New Roman"/>
        <family val="1"/>
      </rPr>
      <t xml:space="preserve"> fee +15%</t>
    </r>
  </si>
  <si>
    <r>
      <t>Scholarship Case:</t>
    </r>
    <r>
      <rPr>
        <sz val="12"/>
        <color theme="1"/>
        <rFont val="Times New Roman"/>
        <family val="1"/>
      </rPr>
      <t xml:space="preserve"> fee –20%</t>
    </r>
  </si>
  <si>
    <t xml:space="preserve">Current Fee </t>
  </si>
  <si>
    <t>change%</t>
  </si>
  <si>
    <t>final fees</t>
  </si>
  <si>
    <t>Current_Fee</t>
  </si>
  <si>
    <t>change</t>
  </si>
  <si>
    <t>final_fees</t>
  </si>
  <si>
    <t>government regulation</t>
  </si>
  <si>
    <t>Management increase</t>
  </si>
  <si>
    <t>Scholarship case</t>
  </si>
  <si>
    <r>
      <t>Strong Market:</t>
    </r>
    <r>
      <rPr>
        <sz val="12"/>
        <color theme="1"/>
        <rFont val="Times New Roman"/>
        <family val="1"/>
      </rPr>
      <t xml:space="preserve"> 18% return</t>
    </r>
  </si>
  <si>
    <r>
      <t>Normal Market:</t>
    </r>
    <r>
      <rPr>
        <sz val="12"/>
        <color theme="1"/>
        <rFont val="Times New Roman"/>
        <family val="1"/>
      </rPr>
      <t xml:space="preserve"> 12%</t>
    </r>
  </si>
  <si>
    <r>
      <t>Weak Market:</t>
    </r>
    <r>
      <rPr>
        <sz val="12"/>
        <color theme="1"/>
        <rFont val="Times New Roman"/>
        <family val="1"/>
      </rPr>
      <t xml:space="preserve"> 5%</t>
    </r>
  </si>
  <si>
    <t>Show expected profit.</t>
  </si>
  <si>
    <t xml:space="preserve">Investment </t>
  </si>
  <si>
    <t>ROI</t>
  </si>
  <si>
    <t>Profit</t>
  </si>
  <si>
    <t>Investment</t>
  </si>
  <si>
    <t>strong market</t>
  </si>
  <si>
    <t>Normal Market</t>
  </si>
  <si>
    <t>Weak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</si>
</sst>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4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4" xfId="0" applyBorder="1"/>
    <xf numFmtId="0" fontId="5" fillId="3" borderId="0" xfId="0" applyFont="1" applyFill="1" applyAlignment="1">
      <alignment horizontal="left"/>
    </xf>
    <xf numFmtId="0" fontId="6" fillId="3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0" fillId="4" borderId="0" xfId="0" applyFill="1"/>
    <xf numFmtId="0" fontId="8" fillId="0" borderId="0" xfId="0" applyFont="1" applyAlignment="1">
      <alignment vertical="top" wrapText="1"/>
    </xf>
    <xf numFmtId="3" fontId="0" fillId="0" borderId="0" xfId="0" applyNumberFormat="1"/>
    <xf numFmtId="3" fontId="3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9" fontId="0" fillId="0" borderId="0" xfId="1" applyFont="1"/>
    <xf numFmtId="9" fontId="0" fillId="0" borderId="0" xfId="0" applyNumberFormat="1"/>
    <xf numFmtId="9" fontId="0" fillId="4" borderId="0" xfId="0" applyNumberFormat="1" applyFill="1"/>
    <xf numFmtId="3" fontId="0" fillId="4" borderId="0" xfId="0" applyNumberFormat="1" applyFill="1"/>
    <xf numFmtId="3" fontId="0" fillId="0" borderId="2" xfId="0" applyNumberFormat="1" applyBorder="1"/>
    <xf numFmtId="0" fontId="3" fillId="0" borderId="0" xfId="0" applyFont="1"/>
    <xf numFmtId="0" fontId="2" fillId="0" borderId="0" xfId="0" applyFont="1"/>
    <xf numFmtId="8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8" fontId="0" fillId="0" borderId="2" xfId="0" applyNumberFormat="1" applyFill="1" applyBorder="1" applyAlignment="1"/>
    <xf numFmtId="0" fontId="0" fillId="0" borderId="4" xfId="0" applyFill="1" applyBorder="1" applyAlignment="1"/>
    <xf numFmtId="0" fontId="5" fillId="3" borderId="0" xfId="0" applyFont="1" applyFill="1" applyBorder="1" applyAlignment="1">
      <alignment horizontal="left"/>
    </xf>
    <xf numFmtId="0" fontId="0" fillId="4" borderId="0" xfId="0" applyFill="1" applyBorder="1" applyAlignment="1"/>
    <xf numFmtId="0" fontId="8" fillId="0" borderId="0" xfId="0" applyFont="1" applyFill="1" applyBorder="1" applyAlignment="1">
      <alignment vertical="top" wrapText="1"/>
    </xf>
    <xf numFmtId="3" fontId="0" fillId="0" borderId="0" xfId="0" applyNumberFormat="1" applyFill="1" applyBorder="1" applyAlignment="1"/>
    <xf numFmtId="3" fontId="0" fillId="4" borderId="0" xfId="0" applyNumberFormat="1" applyFill="1" applyBorder="1" applyAlignment="1"/>
    <xf numFmtId="3" fontId="2" fillId="0" borderId="0" xfId="0" applyNumberFormat="1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5320-5781-4A5F-A5D2-DA3F0F78B362}">
  <dimension ref="A1:B5"/>
  <sheetViews>
    <sheetView workbookViewId="0">
      <selection activeCell="A2" sqref="A2"/>
    </sheetView>
  </sheetViews>
  <sheetFormatPr defaultRowHeight="14.4" x14ac:dyDescent="0.3"/>
  <sheetData>
    <row r="1" spans="1:2" ht="15.6" x14ac:dyDescent="0.3">
      <c r="A1" s="1" t="s">
        <v>5</v>
      </c>
      <c r="B1" s="1" t="s">
        <v>0</v>
      </c>
    </row>
    <row r="2" spans="1:2" ht="31.2" x14ac:dyDescent="0.3">
      <c r="A2" s="2" t="s">
        <v>6</v>
      </c>
      <c r="B2" s="2">
        <v>120</v>
      </c>
    </row>
    <row r="3" spans="1:2" ht="31.2" x14ac:dyDescent="0.3">
      <c r="A3" s="2" t="s">
        <v>7</v>
      </c>
      <c r="B3" s="2">
        <v>180</v>
      </c>
    </row>
    <row r="4" spans="1:2" ht="15.6" x14ac:dyDescent="0.3">
      <c r="A4" s="2" t="s">
        <v>4</v>
      </c>
      <c r="B4" s="2">
        <v>200</v>
      </c>
    </row>
    <row r="5" spans="1:2" ht="15.6" x14ac:dyDescent="0.3">
      <c r="A5" s="2" t="s">
        <v>19</v>
      </c>
      <c r="B5">
        <f>(B3-B2)*B4</f>
        <v>12000</v>
      </c>
    </row>
  </sheetData>
  <scenarios current="0" show="0" sqref="B5">
    <scenario name="worst case" locked="1" count="3" user="janani" comment="Created by janani on 26-11-2025_x000a_Modified by janani on 26-11-2025">
      <inputCells r="B2" val="120"/>
      <inputCells r="B3" val="180"/>
      <inputCells r="B4" val="200"/>
    </scenario>
    <scenario name="best case" locked="1" count="3" user="janani" comment="Created by janani on 26-11-2025_x000a_Modified by janani on 26-11-2025">
      <inputCells r="B2" val="110"/>
      <inputCells r="B3" val="200"/>
      <inputCells r="B4" val="200"/>
    </scenario>
    <scenario name="moderate case" locked="1" count="3" user="janani" comment="Created by janani on 26-11-2025_x000a_Modified by janani on 26-11-2025">
      <inputCells r="B2" val="130"/>
      <inputCells r="B3" val="160"/>
      <inputCells r="B4" val="200"/>
    </scenario>
  </scenarios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965D-57DC-49DE-99A0-7BA8DF54E8B1}">
  <sheetPr>
    <outlinePr summaryBelow="0"/>
  </sheetPr>
  <dimension ref="A1:G13"/>
  <sheetViews>
    <sheetView showGridLines="0" workbookViewId="0"/>
  </sheetViews>
  <sheetFormatPr defaultRowHeight="14.4" outlineLevelRow="1" outlineLevelCol="1" x14ac:dyDescent="0.3"/>
  <cols>
    <col min="3" max="3" width="11.5546875" bestFit="1" customWidth="1"/>
    <col min="4" max="7" width="13.109375" bestFit="1" customWidth="1" outlineLevel="1"/>
  </cols>
  <sheetData>
    <row r="1" spans="1:7" ht="15" thickBot="1" x14ac:dyDescent="0.35">
      <c r="A1">
        <v>1</v>
      </c>
    </row>
    <row r="2" spans="1:7" ht="15.6" x14ac:dyDescent="0.3">
      <c r="B2" s="5" t="s">
        <v>12</v>
      </c>
      <c r="C2" s="5"/>
      <c r="D2" s="10"/>
      <c r="E2" s="10"/>
      <c r="F2" s="10"/>
      <c r="G2" s="10"/>
    </row>
    <row r="3" spans="1:7" ht="15.6" collapsed="1" x14ac:dyDescent="0.3">
      <c r="B3" s="4"/>
      <c r="C3" s="4"/>
      <c r="D3" s="11" t="s">
        <v>14</v>
      </c>
      <c r="E3" s="11" t="s">
        <v>8</v>
      </c>
      <c r="F3" s="11" t="s">
        <v>10</v>
      </c>
      <c r="G3" s="11" t="s">
        <v>11</v>
      </c>
    </row>
    <row r="4" spans="1:7" ht="40.799999999999997" hidden="1" outlineLevel="1" x14ac:dyDescent="0.3">
      <c r="B4" s="7"/>
      <c r="C4" s="7"/>
      <c r="E4" s="13" t="s">
        <v>20</v>
      </c>
      <c r="F4" s="13" t="s">
        <v>20</v>
      </c>
      <c r="G4" s="13" t="s">
        <v>20</v>
      </c>
    </row>
    <row r="5" spans="1:7" x14ac:dyDescent="0.3">
      <c r="B5" s="8" t="s">
        <v>13</v>
      </c>
      <c r="C5" s="8"/>
      <c r="D5" s="6"/>
      <c r="E5" s="6"/>
      <c r="F5" s="6"/>
      <c r="G5" s="6"/>
    </row>
    <row r="6" spans="1:7" outlineLevel="1" x14ac:dyDescent="0.3">
      <c r="B6" s="7"/>
      <c r="C6" s="7" t="s">
        <v>21</v>
      </c>
      <c r="D6">
        <v>120</v>
      </c>
      <c r="E6" s="12">
        <v>120</v>
      </c>
      <c r="F6" s="12">
        <v>110</v>
      </c>
      <c r="G6" s="12">
        <v>130</v>
      </c>
    </row>
    <row r="7" spans="1:7" outlineLevel="1" x14ac:dyDescent="0.3">
      <c r="B7" s="7"/>
      <c r="C7" s="7" t="s">
        <v>22</v>
      </c>
      <c r="D7">
        <v>180</v>
      </c>
      <c r="E7" s="12">
        <v>180</v>
      </c>
      <c r="F7" s="12">
        <v>200</v>
      </c>
      <c r="G7" s="12">
        <v>160</v>
      </c>
    </row>
    <row r="8" spans="1:7" outlineLevel="1" x14ac:dyDescent="0.3">
      <c r="B8" s="7"/>
      <c r="C8" s="7" t="s">
        <v>4</v>
      </c>
      <c r="D8">
        <v>200</v>
      </c>
      <c r="E8" s="12">
        <v>200</v>
      </c>
      <c r="F8" s="12">
        <v>200</v>
      </c>
      <c r="G8" s="12">
        <v>200</v>
      </c>
    </row>
    <row r="9" spans="1:7" x14ac:dyDescent="0.3">
      <c r="B9" s="8" t="s">
        <v>15</v>
      </c>
      <c r="C9" s="8"/>
      <c r="D9" s="6"/>
      <c r="E9" s="6"/>
      <c r="F9" s="6"/>
      <c r="G9" s="6"/>
    </row>
    <row r="10" spans="1:7" ht="15" outlineLevel="1" thickBot="1" x14ac:dyDescent="0.35">
      <c r="B10" s="9"/>
      <c r="C10" s="9" t="s">
        <v>19</v>
      </c>
      <c r="D10" s="3">
        <v>12000</v>
      </c>
      <c r="E10" s="3">
        <v>12000</v>
      </c>
      <c r="F10" s="3">
        <v>18000</v>
      </c>
      <c r="G10" s="3">
        <v>6000</v>
      </c>
    </row>
    <row r="11" spans="1:7" x14ac:dyDescent="0.3">
      <c r="B11" t="s">
        <v>16</v>
      </c>
    </row>
    <row r="12" spans="1:7" x14ac:dyDescent="0.3">
      <c r="B12" t="s">
        <v>17</v>
      </c>
    </row>
    <row r="13" spans="1:7" x14ac:dyDescent="0.3">
      <c r="B1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593C-D811-4A9F-8EE1-ACE3CC1A282C}">
  <dimension ref="A1:D7"/>
  <sheetViews>
    <sheetView workbookViewId="0">
      <selection activeCell="D3" sqref="D3"/>
    </sheetView>
  </sheetViews>
  <sheetFormatPr defaultRowHeight="14.4" x14ac:dyDescent="0.3"/>
  <cols>
    <col min="1" max="1" width="28.77734375" bestFit="1" customWidth="1"/>
    <col min="2" max="3" width="15.109375" bestFit="1" customWidth="1"/>
  </cols>
  <sheetData>
    <row r="1" spans="1:4" ht="15.6" x14ac:dyDescent="0.3">
      <c r="A1" s="16" t="s">
        <v>23</v>
      </c>
      <c r="B1" s="16" t="s">
        <v>1</v>
      </c>
      <c r="C1" s="16" t="s">
        <v>29</v>
      </c>
      <c r="D1" s="16" t="s">
        <v>30</v>
      </c>
    </row>
    <row r="2" spans="1:4" ht="15.6" x14ac:dyDescent="0.3">
      <c r="A2" s="2" t="s">
        <v>24</v>
      </c>
      <c r="B2" s="15">
        <v>40000</v>
      </c>
      <c r="C2" s="18">
        <v>0.05</v>
      </c>
      <c r="D2">
        <v>42000</v>
      </c>
    </row>
    <row r="3" spans="1:4" ht="15.6" x14ac:dyDescent="0.3">
      <c r="A3" s="2" t="s">
        <v>25</v>
      </c>
      <c r="B3" s="15">
        <v>55000</v>
      </c>
      <c r="C3" s="18">
        <v>0.05</v>
      </c>
      <c r="D3">
        <v>57750</v>
      </c>
    </row>
    <row r="5" spans="1:4" ht="15.6" x14ac:dyDescent="0.3">
      <c r="A5" s="17" t="s">
        <v>26</v>
      </c>
    </row>
    <row r="6" spans="1:4" ht="15.6" x14ac:dyDescent="0.3">
      <c r="A6" s="17" t="s">
        <v>27</v>
      </c>
    </row>
    <row r="7" spans="1:4" ht="15.6" x14ac:dyDescent="0.3">
      <c r="A7" s="17" t="s">
        <v>28</v>
      </c>
    </row>
  </sheetData>
  <scenarios current="0" show="0" sqref="D2:D3">
    <scenario name="Low Hike" locked="1" count="2" user="janani" comment="Created by janani on 26-11-2025_x000a_Modified by janani on 26-11-2025">
      <inputCells r="C2" val="0.05" numFmtId="9"/>
      <inputCells r="C3" val="0.05" numFmtId="9"/>
    </scenario>
    <scenario name="Medium Hike" locked="1" count="2" user="janani" comment="Created by janani on 26-11-2025_x000a_Modified by janani on 26-11-2025">
      <inputCells r="C2" val="0.1" numFmtId="9"/>
      <inputCells r="C3" val="0.1" numFmtId="9"/>
    </scenario>
    <scenario name="High Hike" locked="1" count="2" user="janani" comment="Created by janani on 26-11-2025_x000a_Modified by janani on 26-11-2025">
      <inputCells r="C2" val="0.2" numFmtId="9"/>
      <inputCells r="C3" val="0.2" numFmtId="9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E1A3-CAAC-4055-81EC-0884912CE570}">
  <sheetPr>
    <outlinePr summaryBelow="0"/>
  </sheetPr>
  <dimension ref="B1:G13"/>
  <sheetViews>
    <sheetView showGridLines="0" workbookViewId="0">
      <selection activeCell="N25" sqref="N25"/>
    </sheetView>
  </sheetViews>
  <sheetFormatPr defaultRowHeight="14.4" outlineLevelRow="1" outlineLevelCol="1" x14ac:dyDescent="0.3"/>
  <cols>
    <col min="3" max="3" width="5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35</v>
      </c>
      <c r="F3" s="11" t="s">
        <v>36</v>
      </c>
      <c r="G3" s="11" t="s">
        <v>37</v>
      </c>
    </row>
    <row r="4" spans="2:7" ht="20.399999999999999" hidden="1" outlineLevel="1" x14ac:dyDescent="0.3">
      <c r="B4" s="7"/>
      <c r="C4" s="7"/>
      <c r="E4" s="13" t="s">
        <v>9</v>
      </c>
      <c r="F4" s="13" t="s">
        <v>9</v>
      </c>
      <c r="G4" s="13" t="s">
        <v>9</v>
      </c>
    </row>
    <row r="5" spans="2:7" x14ac:dyDescent="0.3">
      <c r="B5" s="8" t="s">
        <v>13</v>
      </c>
      <c r="C5" s="8"/>
      <c r="D5" s="6"/>
      <c r="E5" s="6"/>
      <c r="F5" s="6"/>
      <c r="G5" s="6"/>
    </row>
    <row r="6" spans="2:7" outlineLevel="1" x14ac:dyDescent="0.3">
      <c r="B6" s="7"/>
      <c r="C6" s="7" t="s">
        <v>31</v>
      </c>
      <c r="D6" s="19">
        <v>0.05</v>
      </c>
      <c r="E6" s="20">
        <v>0.05</v>
      </c>
      <c r="F6" s="20">
        <v>0.1</v>
      </c>
      <c r="G6" s="20">
        <v>0.2</v>
      </c>
    </row>
    <row r="7" spans="2:7" outlineLevel="1" x14ac:dyDescent="0.3">
      <c r="B7" s="7"/>
      <c r="C7" s="7" t="s">
        <v>32</v>
      </c>
      <c r="D7" s="19">
        <v>0.05</v>
      </c>
      <c r="E7" s="20">
        <v>0.05</v>
      </c>
      <c r="F7" s="20">
        <v>0.1</v>
      </c>
      <c r="G7" s="20">
        <v>0.2</v>
      </c>
    </row>
    <row r="8" spans="2:7" x14ac:dyDescent="0.3">
      <c r="B8" s="8" t="s">
        <v>15</v>
      </c>
      <c r="C8" s="8"/>
      <c r="D8" s="6"/>
      <c r="E8" s="6"/>
      <c r="F8" s="6"/>
      <c r="G8" s="6"/>
    </row>
    <row r="9" spans="2:7" outlineLevel="1" x14ac:dyDescent="0.3">
      <c r="B9" s="7"/>
      <c r="C9" s="7" t="s">
        <v>33</v>
      </c>
      <c r="D9">
        <v>42000</v>
      </c>
      <c r="E9">
        <v>42000</v>
      </c>
      <c r="F9">
        <v>44000</v>
      </c>
      <c r="G9">
        <v>48000</v>
      </c>
    </row>
    <row r="10" spans="2:7" ht="15" outlineLevel="1" thickBot="1" x14ac:dyDescent="0.35">
      <c r="B10" s="9"/>
      <c r="C10" s="9" t="s">
        <v>34</v>
      </c>
      <c r="D10" s="3">
        <v>57750</v>
      </c>
      <c r="E10" s="3">
        <v>57750</v>
      </c>
      <c r="F10" s="3">
        <v>60500</v>
      </c>
      <c r="G10" s="3">
        <v>66000</v>
      </c>
    </row>
    <row r="11" spans="2:7" x14ac:dyDescent="0.3">
      <c r="B11" t="s">
        <v>16</v>
      </c>
    </row>
    <row r="12" spans="2:7" x14ac:dyDescent="0.3">
      <c r="B12" t="s">
        <v>17</v>
      </c>
    </row>
    <row r="13" spans="2:7" x14ac:dyDescent="0.3">
      <c r="B13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B742-B986-4AF2-8B90-DF1274039663}">
  <dimension ref="A1:B13"/>
  <sheetViews>
    <sheetView tabSelected="1" workbookViewId="0">
      <selection activeCell="B6" sqref="B6"/>
    </sheetView>
  </sheetViews>
  <sheetFormatPr defaultRowHeight="14.4" x14ac:dyDescent="0.3"/>
  <cols>
    <col min="1" max="1" width="58.5546875" bestFit="1" customWidth="1"/>
  </cols>
  <sheetData>
    <row r="1" spans="1:2" ht="31.2" x14ac:dyDescent="0.3">
      <c r="A1" s="1" t="s">
        <v>2</v>
      </c>
      <c r="B1" s="1" t="s">
        <v>3</v>
      </c>
    </row>
    <row r="2" spans="1:2" ht="15.6" x14ac:dyDescent="0.3">
      <c r="A2" s="2" t="s">
        <v>38</v>
      </c>
      <c r="B2" s="15">
        <v>15000</v>
      </c>
    </row>
    <row r="3" spans="1:2" ht="15.6" x14ac:dyDescent="0.3">
      <c r="A3" s="2" t="s">
        <v>39</v>
      </c>
      <c r="B3" s="15">
        <v>8000</v>
      </c>
    </row>
    <row r="4" spans="1:2" ht="15.6" x14ac:dyDescent="0.3">
      <c r="A4" s="2" t="s">
        <v>40</v>
      </c>
      <c r="B4" s="15">
        <v>3000</v>
      </c>
    </row>
    <row r="5" spans="1:2" ht="15.6" x14ac:dyDescent="0.3">
      <c r="A5" s="2" t="s">
        <v>41</v>
      </c>
      <c r="B5" s="15">
        <v>5000</v>
      </c>
    </row>
    <row r="6" spans="1:2" ht="15.6" x14ac:dyDescent="0.3">
      <c r="A6" s="2" t="s">
        <v>45</v>
      </c>
      <c r="B6" s="14">
        <f>SUM(B2:B5)</f>
        <v>31000</v>
      </c>
    </row>
    <row r="11" spans="1:2" ht="15.6" x14ac:dyDescent="0.3">
      <c r="A11" s="17" t="s">
        <v>42</v>
      </c>
    </row>
    <row r="12" spans="1:2" ht="15.6" x14ac:dyDescent="0.3">
      <c r="A12" s="17" t="s">
        <v>43</v>
      </c>
    </row>
    <row r="13" spans="1:2" ht="15.6" x14ac:dyDescent="0.3">
      <c r="A13" s="17" t="s">
        <v>44</v>
      </c>
    </row>
  </sheetData>
  <scenarios current="0" sqref="B6">
    <scenario name="Normal Month" locked="1" count="4" user="janani" comment="Created by janani on 26-11-2025">
      <inputCells r="B2" val="15000" numFmtId="3"/>
      <inputCells r="B3" val="8000" numFmtId="3"/>
      <inputCells r="B4" val="3000" numFmtId="3"/>
      <inputCells r="B5" val="5000" numFmtId="3"/>
    </scenario>
    <scenario name="Festival Month" locked="1" count="4" user="janani" comment="Created by janani on 26-11-2025">
      <inputCells r="B2" val="15000" numFmtId="3"/>
      <inputCells r="B3" val="11000" numFmtId="3"/>
      <inputCells r="B4" val="4000" numFmtId="3"/>
      <inputCells r="B5" val="5000" numFmtId="3"/>
    </scenario>
    <scenario name="Cost-Saving Month" locked="1" count="4" user="janani" comment="Created by janani on 26-11-2025">
      <inputCells r="B2" val="15000" numFmtId="3"/>
      <inputCells r="B3" val="6000" numFmtId="3"/>
      <inputCells r="B4" val="2500" numFmtId="3"/>
      <inputCells r="B5" val="5000" numFmtId="3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E36B-4BB8-41D1-9E0A-3BAFCF5A7D19}">
  <sheetPr>
    <outlinePr summaryBelow="0"/>
  </sheetPr>
  <dimension ref="B1:G14"/>
  <sheetViews>
    <sheetView showGridLines="0" workbookViewId="0">
      <selection activeCell="G8" sqref="G8"/>
    </sheetView>
  </sheetViews>
  <sheetFormatPr defaultRowHeight="14.4" outlineLevelRow="1" outlineLevelCol="1" x14ac:dyDescent="0.3"/>
  <cols>
    <col min="3" max="3" width="21.109375" bestFit="1" customWidth="1"/>
    <col min="4" max="7" width="15.886718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47</v>
      </c>
      <c r="F3" s="11" t="s">
        <v>48</v>
      </c>
      <c r="G3" s="11" t="s">
        <v>49</v>
      </c>
    </row>
    <row r="4" spans="2:7" ht="20.399999999999999" hidden="1" outlineLevel="1" x14ac:dyDescent="0.3">
      <c r="B4" s="7"/>
      <c r="C4" s="7"/>
      <c r="E4" s="13" t="s">
        <v>9</v>
      </c>
      <c r="F4" s="13" t="s">
        <v>9</v>
      </c>
      <c r="G4" s="13" t="s">
        <v>9</v>
      </c>
    </row>
    <row r="5" spans="2:7" x14ac:dyDescent="0.3">
      <c r="B5" s="8" t="s">
        <v>13</v>
      </c>
      <c r="C5" s="8"/>
      <c r="D5" s="6"/>
      <c r="E5" s="6"/>
      <c r="F5" s="6"/>
      <c r="G5" s="6"/>
    </row>
    <row r="6" spans="2:7" outlineLevel="1" x14ac:dyDescent="0.3">
      <c r="B6" s="7"/>
      <c r="C6" s="7" t="s">
        <v>38</v>
      </c>
      <c r="D6" s="14">
        <v>15000</v>
      </c>
      <c r="E6" s="21">
        <v>15000</v>
      </c>
      <c r="F6" s="21">
        <v>15000</v>
      </c>
      <c r="G6" s="21">
        <v>15000</v>
      </c>
    </row>
    <row r="7" spans="2:7" outlineLevel="1" x14ac:dyDescent="0.3">
      <c r="B7" s="7"/>
      <c r="C7" s="7" t="s">
        <v>39</v>
      </c>
      <c r="D7" s="14">
        <v>8000</v>
      </c>
      <c r="E7" s="21">
        <v>8000</v>
      </c>
      <c r="F7" s="21">
        <v>11000</v>
      </c>
      <c r="G7" s="21">
        <v>6000</v>
      </c>
    </row>
    <row r="8" spans="2:7" outlineLevel="1" x14ac:dyDescent="0.3">
      <c r="B8" s="7"/>
      <c r="C8" s="7" t="s">
        <v>40</v>
      </c>
      <c r="D8" s="14">
        <v>3000</v>
      </c>
      <c r="E8" s="21">
        <v>3000</v>
      </c>
      <c r="F8" s="21">
        <v>4000</v>
      </c>
      <c r="G8" s="21">
        <v>2500</v>
      </c>
    </row>
    <row r="9" spans="2:7" outlineLevel="1" x14ac:dyDescent="0.3">
      <c r="B9" s="7"/>
      <c r="C9" s="7" t="s">
        <v>41</v>
      </c>
      <c r="D9" s="14">
        <v>5000</v>
      </c>
      <c r="E9" s="21">
        <v>5000</v>
      </c>
      <c r="F9" s="21">
        <v>5000</v>
      </c>
      <c r="G9" s="21">
        <v>5000</v>
      </c>
    </row>
    <row r="10" spans="2:7" x14ac:dyDescent="0.3">
      <c r="B10" s="8" t="s">
        <v>15</v>
      </c>
      <c r="C10" s="8"/>
      <c r="D10" s="6"/>
      <c r="E10" s="6"/>
      <c r="F10" s="6"/>
      <c r="G10" s="6"/>
    </row>
    <row r="11" spans="2:7" ht="15" outlineLevel="1" thickBot="1" x14ac:dyDescent="0.35">
      <c r="B11" s="9"/>
      <c r="C11" s="9" t="s">
        <v>46</v>
      </c>
      <c r="D11" s="22">
        <v>31000</v>
      </c>
      <c r="E11" s="22">
        <v>31000</v>
      </c>
      <c r="F11" s="22">
        <v>35000</v>
      </c>
      <c r="G11" s="22">
        <v>28500</v>
      </c>
    </row>
    <row r="12" spans="2:7" x14ac:dyDescent="0.3">
      <c r="B12" t="s">
        <v>16</v>
      </c>
    </row>
    <row r="13" spans="2:7" x14ac:dyDescent="0.3">
      <c r="B13" t="s">
        <v>17</v>
      </c>
    </row>
    <row r="14" spans="2:7" x14ac:dyDescent="0.3">
      <c r="B1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E0B9-F330-42F9-8C03-22C65F6405FE}">
  <dimension ref="A1:B13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0.44140625" bestFit="1" customWidth="1"/>
  </cols>
  <sheetData>
    <row r="1" spans="1:2" ht="15.6" x14ac:dyDescent="0.3">
      <c r="A1" s="23" t="s">
        <v>54</v>
      </c>
      <c r="B1" s="14">
        <v>500000</v>
      </c>
    </row>
    <row r="2" spans="1:2" ht="15.6" x14ac:dyDescent="0.3">
      <c r="A2" s="23" t="s">
        <v>53</v>
      </c>
      <c r="B2">
        <v>5</v>
      </c>
    </row>
    <row r="3" spans="1:2" x14ac:dyDescent="0.3">
      <c r="A3" t="s">
        <v>55</v>
      </c>
    </row>
    <row r="4" spans="1:2" x14ac:dyDescent="0.3">
      <c r="A4" t="s">
        <v>56</v>
      </c>
      <c r="B4" s="25">
        <f>PMT(B3/12,B2*12,-B1)</f>
        <v>8333.3333333333339</v>
      </c>
    </row>
    <row r="11" spans="1:2" ht="15.6" x14ac:dyDescent="0.3">
      <c r="A11" s="17" t="s">
        <v>50</v>
      </c>
    </row>
    <row r="12" spans="1:2" ht="15.6" x14ac:dyDescent="0.3">
      <c r="A12" s="17" t="s">
        <v>51</v>
      </c>
    </row>
    <row r="13" spans="1:2" ht="15.6" x14ac:dyDescent="0.3">
      <c r="A13" s="17" t="s">
        <v>52</v>
      </c>
    </row>
  </sheetData>
  <scenarios current="2" sqref="B4">
    <scenario name="Low interest" locked="1" count="3" user="janani" comment="Created by janani on 27-11-2025_x000a_Modified by janani on 27-11-2025">
      <inputCells r="B3" val="0.08"/>
      <inputCells r="B1" val="500000" numFmtId="3"/>
      <inputCells r="B2" val="5"/>
    </scenario>
    <scenario name="Medium interest" locked="1" count="3" user="janani" comment="Created by janani on 27-11-2025_x000a_Modified by janani on 27-11-2025">
      <inputCells r="B3" val="0.1"/>
      <inputCells r="B1" val="500000" numFmtId="3"/>
      <inputCells r="B2" val="5"/>
    </scenario>
    <scenario name="High interest" locked="1" count="3" user="janani" comment="Created by janani on 27-11-2025_x000a_Modified by janani on 27-11-2025">
      <inputCells r="B1" val="500000" numFmtId="3"/>
      <inputCells r="B2" val="5"/>
      <inputCells r="B3" val="0.12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B03C-EA04-4547-99BF-654F4F29D034}">
  <sheetPr>
    <outlinePr summaryBelow="0"/>
  </sheetPr>
  <dimension ref="B1:G13"/>
  <sheetViews>
    <sheetView showGridLines="0" workbookViewId="0">
      <selection activeCell="J27" sqref="J27"/>
    </sheetView>
  </sheetViews>
  <sheetFormatPr defaultRowHeight="14.4" outlineLevelRow="1" outlineLevelCol="1" x14ac:dyDescent="0.3"/>
  <cols>
    <col min="3" max="3" width="13.109375" bestFit="1" customWidth="1"/>
    <col min="4" max="7" width="14.1093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57</v>
      </c>
      <c r="F3" s="11" t="s">
        <v>59</v>
      </c>
      <c r="G3" s="11" t="s">
        <v>60</v>
      </c>
    </row>
    <row r="4" spans="2:7" ht="40.799999999999997" hidden="1" outlineLevel="1" x14ac:dyDescent="0.3">
      <c r="B4" s="30"/>
      <c r="C4" s="30"/>
      <c r="D4" s="26"/>
      <c r="E4" s="32" t="s">
        <v>61</v>
      </c>
      <c r="F4" s="32" t="s">
        <v>61</v>
      </c>
      <c r="G4" s="32" t="s">
        <v>61</v>
      </c>
    </row>
    <row r="5" spans="2:7" x14ac:dyDescent="0.3">
      <c r="B5" s="8" t="s">
        <v>13</v>
      </c>
      <c r="C5" s="8"/>
      <c r="D5" s="29"/>
      <c r="E5" s="29"/>
      <c r="F5" s="29"/>
      <c r="G5" s="29"/>
    </row>
    <row r="6" spans="2:7" outlineLevel="1" x14ac:dyDescent="0.3">
      <c r="B6" s="30"/>
      <c r="C6" s="30" t="s">
        <v>55</v>
      </c>
      <c r="D6" s="26"/>
      <c r="E6" s="31">
        <v>0.08</v>
      </c>
      <c r="F6" s="31">
        <v>0.1</v>
      </c>
      <c r="G6" s="31">
        <v>0.12</v>
      </c>
    </row>
    <row r="7" spans="2:7" outlineLevel="1" x14ac:dyDescent="0.3">
      <c r="B7" s="30"/>
      <c r="C7" s="30" t="s">
        <v>62</v>
      </c>
      <c r="D7" s="33">
        <v>500000</v>
      </c>
      <c r="E7" s="34">
        <v>500000</v>
      </c>
      <c r="F7" s="34">
        <v>500000</v>
      </c>
      <c r="G7" s="34">
        <v>500000</v>
      </c>
    </row>
    <row r="8" spans="2:7" outlineLevel="1" x14ac:dyDescent="0.3">
      <c r="B8" s="30"/>
      <c r="C8" s="30" t="s">
        <v>63</v>
      </c>
      <c r="D8" s="26">
        <v>5</v>
      </c>
      <c r="E8" s="31">
        <v>5</v>
      </c>
      <c r="F8" s="31">
        <v>5</v>
      </c>
      <c r="G8" s="31">
        <v>5</v>
      </c>
    </row>
    <row r="9" spans="2:7" x14ac:dyDescent="0.3">
      <c r="B9" s="8" t="s">
        <v>15</v>
      </c>
      <c r="C9" s="8"/>
      <c r="D9" s="29"/>
      <c r="E9" s="29"/>
      <c r="F9" s="29"/>
      <c r="G9" s="29"/>
    </row>
    <row r="10" spans="2:7" ht="15" outlineLevel="1" thickBot="1" x14ac:dyDescent="0.35">
      <c r="B10" s="9"/>
      <c r="C10" s="9" t="s">
        <v>56</v>
      </c>
      <c r="D10" s="28">
        <v>8333.3333333333303</v>
      </c>
      <c r="E10" s="28">
        <v>10138.197144206801</v>
      </c>
      <c r="F10" s="28">
        <v>10623.522355634101</v>
      </c>
      <c r="G10" s="28">
        <v>11122.2238424509</v>
      </c>
    </row>
    <row r="11" spans="2:7" x14ac:dyDescent="0.3">
      <c r="B11" t="s">
        <v>16</v>
      </c>
    </row>
    <row r="12" spans="2:7" x14ac:dyDescent="0.3">
      <c r="B12" t="s">
        <v>17</v>
      </c>
    </row>
    <row r="13" spans="2:7" x14ac:dyDescent="0.3">
      <c r="B1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EC8C-9E56-4A92-A01A-899C10CCF42F}">
  <dimension ref="A1:B9"/>
  <sheetViews>
    <sheetView workbookViewId="0">
      <selection activeCell="B3" sqref="B3"/>
    </sheetView>
  </sheetViews>
  <sheetFormatPr defaultRowHeight="14.4" x14ac:dyDescent="0.3"/>
  <cols>
    <col min="1" max="1" width="18.88671875" bestFit="1" customWidth="1"/>
    <col min="2" max="2" width="9.88671875" bestFit="1" customWidth="1"/>
  </cols>
  <sheetData>
    <row r="1" spans="1:2" ht="15.6" x14ac:dyDescent="0.3">
      <c r="A1" s="24" t="s">
        <v>64</v>
      </c>
      <c r="B1" s="35">
        <v>1000000</v>
      </c>
    </row>
    <row r="2" spans="1:2" x14ac:dyDescent="0.3">
      <c r="A2" t="s">
        <v>68</v>
      </c>
      <c r="B2">
        <v>0.1</v>
      </c>
    </row>
    <row r="3" spans="1:2" x14ac:dyDescent="0.3">
      <c r="A3" t="s">
        <v>69</v>
      </c>
      <c r="B3">
        <f>B1*(1+B2)</f>
        <v>1100000</v>
      </c>
    </row>
    <row r="7" spans="1:2" ht="15.6" x14ac:dyDescent="0.3">
      <c r="A7" s="17" t="s">
        <v>65</v>
      </c>
    </row>
    <row r="8" spans="1:2" ht="15.6" x14ac:dyDescent="0.3">
      <c r="A8" s="17" t="s">
        <v>66</v>
      </c>
    </row>
    <row r="9" spans="1:2" ht="15.6" x14ac:dyDescent="0.3">
      <c r="A9" s="17" t="s">
        <v>67</v>
      </c>
    </row>
  </sheetData>
  <scenarios current="1" sqref="B3">
    <scenario name="optimistic" locked="1" count="2" user="janani" comment="Created by janani on 27-11-2025_x000a_Modified by janani on 27-11-2025">
      <inputCells r="B2" val="0.2"/>
      <inputCells r="B1" val="1000000" numFmtId="3"/>
    </scenario>
    <scenario name="expected" locked="1" count="2" user="janani" comment="Created by janani on 27-11-2025_x000a_Modified by janani on 27-11-2025">
      <inputCells r="B2" val="0.1"/>
      <inputCells r="B1" val="1000000" numFmtId="3"/>
    </scenario>
    <scenario name="pessimistic" locked="1" count="2" user="janani" comment="Created by janani on 27-11-2025_x000a_Modified by janani on 27-11-2025">
      <inputCells r="B2" val="-0.05"/>
      <inputCells r="B1" val="1000000" numFmtId="3"/>
    </scenario>
  </scenario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50F0-0CD0-4BA4-ABAA-ACF6FF7223F5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13.664062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72</v>
      </c>
      <c r="F3" s="11" t="s">
        <v>73</v>
      </c>
      <c r="G3" s="11" t="s">
        <v>74</v>
      </c>
    </row>
    <row r="4" spans="2:7" ht="40.799999999999997" hidden="1" outlineLevel="1" x14ac:dyDescent="0.3">
      <c r="B4" s="30"/>
      <c r="C4" s="30"/>
      <c r="D4" s="26"/>
      <c r="E4" s="32" t="s">
        <v>61</v>
      </c>
      <c r="F4" s="32" t="s">
        <v>61</v>
      </c>
      <c r="G4" s="32" t="s">
        <v>61</v>
      </c>
    </row>
    <row r="5" spans="2:7" x14ac:dyDescent="0.3">
      <c r="B5" s="8" t="s">
        <v>13</v>
      </c>
      <c r="C5" s="8"/>
      <c r="D5" s="29"/>
      <c r="E5" s="29"/>
      <c r="F5" s="29"/>
      <c r="G5" s="29"/>
    </row>
    <row r="6" spans="2:7" outlineLevel="1" x14ac:dyDescent="0.3">
      <c r="B6" s="30"/>
      <c r="C6" s="30" t="s">
        <v>70</v>
      </c>
      <c r="D6" s="26">
        <v>0.1</v>
      </c>
      <c r="E6" s="31">
        <v>0.2</v>
      </c>
      <c r="F6" s="31">
        <v>0.1</v>
      </c>
      <c r="G6" s="31">
        <v>-0.05</v>
      </c>
    </row>
    <row r="7" spans="2:7" outlineLevel="1" x14ac:dyDescent="0.3">
      <c r="B7" s="30"/>
      <c r="C7" s="30" t="s">
        <v>75</v>
      </c>
      <c r="D7" s="33">
        <v>1000000</v>
      </c>
      <c r="E7" s="34">
        <v>1000000</v>
      </c>
      <c r="F7" s="34">
        <v>1000000</v>
      </c>
      <c r="G7" s="34">
        <v>1000000</v>
      </c>
    </row>
    <row r="8" spans="2:7" x14ac:dyDescent="0.3">
      <c r="B8" s="8" t="s">
        <v>15</v>
      </c>
      <c r="C8" s="8"/>
      <c r="D8" s="29"/>
      <c r="E8" s="29"/>
      <c r="F8" s="29"/>
      <c r="G8" s="29"/>
    </row>
    <row r="9" spans="2:7" ht="15" outlineLevel="1" thickBot="1" x14ac:dyDescent="0.35">
      <c r="B9" s="9"/>
      <c r="C9" s="9" t="s">
        <v>71</v>
      </c>
      <c r="D9" s="27">
        <v>1100000</v>
      </c>
      <c r="E9" s="27">
        <v>1200000</v>
      </c>
      <c r="F9" s="27">
        <v>1100000</v>
      </c>
      <c r="G9" s="27">
        <v>950000</v>
      </c>
    </row>
    <row r="10" spans="2:7" x14ac:dyDescent="0.3">
      <c r="B10" t="s">
        <v>16</v>
      </c>
    </row>
    <row r="11" spans="2:7" x14ac:dyDescent="0.3">
      <c r="B11" t="s">
        <v>17</v>
      </c>
    </row>
    <row r="12" spans="2:7" x14ac:dyDescent="0.3">
      <c r="B12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A7B1-31BF-413D-9A1B-22E7B2FD8267}">
  <dimension ref="A1:B13"/>
  <sheetViews>
    <sheetView workbookViewId="0">
      <selection activeCell="B5" sqref="B5"/>
    </sheetView>
  </sheetViews>
  <sheetFormatPr defaultRowHeight="14.4" x14ac:dyDescent="0.3"/>
  <cols>
    <col min="1" max="1" width="38.6640625" bestFit="1" customWidth="1"/>
  </cols>
  <sheetData>
    <row r="1" spans="1:2" ht="31.2" x14ac:dyDescent="0.3">
      <c r="A1" s="1" t="s">
        <v>76</v>
      </c>
      <c r="B1" s="1" t="s">
        <v>77</v>
      </c>
    </row>
    <row r="2" spans="1:2" ht="15.6" x14ac:dyDescent="0.3">
      <c r="A2" s="2" t="s">
        <v>78</v>
      </c>
      <c r="B2" s="2">
        <v>50</v>
      </c>
    </row>
    <row r="3" spans="1:2" ht="15.6" x14ac:dyDescent="0.3">
      <c r="A3" s="2" t="s">
        <v>79</v>
      </c>
      <c r="B3" s="2">
        <v>30</v>
      </c>
    </row>
    <row r="4" spans="1:2" ht="15.6" x14ac:dyDescent="0.3">
      <c r="A4" s="2" t="s">
        <v>80</v>
      </c>
      <c r="B4" s="2">
        <v>20</v>
      </c>
    </row>
    <row r="5" spans="1:2" ht="15.6" x14ac:dyDescent="0.3">
      <c r="A5" s="36" t="s">
        <v>86</v>
      </c>
      <c r="B5">
        <f>SUM(B2:B4)</f>
        <v>100</v>
      </c>
    </row>
    <row r="8" spans="1:2" ht="15.6" x14ac:dyDescent="0.3">
      <c r="A8" s="37" t="s">
        <v>81</v>
      </c>
    </row>
    <row r="9" spans="1:2" ht="15.6" x14ac:dyDescent="0.3">
      <c r="A9" s="36" t="s">
        <v>82</v>
      </c>
    </row>
    <row r="10" spans="1:2" x14ac:dyDescent="0.3">
      <c r="A10" s="38"/>
    </row>
    <row r="11" spans="1:2" ht="15.6" x14ac:dyDescent="0.3">
      <c r="A11" s="17" t="s">
        <v>83</v>
      </c>
    </row>
    <row r="12" spans="1:2" ht="15.6" x14ac:dyDescent="0.3">
      <c r="A12" s="17" t="s">
        <v>84</v>
      </c>
    </row>
    <row r="13" spans="1:2" ht="15.6" x14ac:dyDescent="0.3">
      <c r="A13" s="17" t="s">
        <v>85</v>
      </c>
    </row>
  </sheetData>
  <scenarios current="0" sqref="B5">
    <scenario name="Material price increases" locked="1" count="3" user="janani" comment="Created by janani on 27-11-2025">
      <inputCells r="B2" val="60"/>
      <inputCells r="B3" val="30"/>
      <inputCells r="B4" val="20"/>
    </scenario>
    <scenario name="Labour cost increases" locked="1" count="3" user="janani" comment="Created by janani on 27-11-2025">
      <inputCells r="B2" val="50"/>
      <inputCells r="B3" val="40"/>
      <inputCells r="B4" val="20"/>
    </scenario>
    <scenario name="Both increases" locked="1" count="3" user="janani" comment="Created by janani on 27-11-2025">
      <inputCells r="B2" val="60"/>
      <inputCells r="B3" val="40"/>
      <inputCells r="B4" val="20"/>
    </scenario>
  </scenario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0248-8722-46DC-B5EC-2A2F87F9DF70}">
  <sheetPr>
    <outlinePr summaryBelow="0"/>
  </sheetPr>
  <dimension ref="B1:G13"/>
  <sheetViews>
    <sheetView showGridLines="0" workbookViewId="0"/>
  </sheetViews>
  <sheetFormatPr defaultRowHeight="14.4" outlineLevelRow="1" outlineLevelCol="1" x14ac:dyDescent="0.3"/>
  <cols>
    <col min="3" max="3" width="10" bestFit="1" customWidth="1"/>
    <col min="4" max="7" width="19.55468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88</v>
      </c>
      <c r="F3" s="11" t="s">
        <v>89</v>
      </c>
      <c r="G3" s="11" t="s">
        <v>90</v>
      </c>
    </row>
    <row r="4" spans="2:7" ht="20.399999999999999" hidden="1" outlineLevel="1" x14ac:dyDescent="0.3">
      <c r="B4" s="30"/>
      <c r="C4" s="30"/>
      <c r="D4" s="26"/>
      <c r="E4" s="32" t="s">
        <v>58</v>
      </c>
      <c r="F4" s="32" t="s">
        <v>58</v>
      </c>
      <c r="G4" s="32" t="s">
        <v>58</v>
      </c>
    </row>
    <row r="5" spans="2:7" x14ac:dyDescent="0.3">
      <c r="B5" s="8" t="s">
        <v>13</v>
      </c>
      <c r="C5" s="8"/>
      <c r="D5" s="29"/>
      <c r="E5" s="29"/>
      <c r="F5" s="29"/>
      <c r="G5" s="29"/>
    </row>
    <row r="6" spans="2:7" outlineLevel="1" x14ac:dyDescent="0.3">
      <c r="B6" s="30"/>
      <c r="C6" s="30" t="s">
        <v>78</v>
      </c>
      <c r="D6" s="26">
        <v>50</v>
      </c>
      <c r="E6" s="31">
        <v>60</v>
      </c>
      <c r="F6" s="31">
        <v>50</v>
      </c>
      <c r="G6" s="31">
        <v>60</v>
      </c>
    </row>
    <row r="7" spans="2:7" outlineLevel="1" x14ac:dyDescent="0.3">
      <c r="B7" s="30"/>
      <c r="C7" s="30" t="s">
        <v>79</v>
      </c>
      <c r="D7" s="26">
        <v>30</v>
      </c>
      <c r="E7" s="31">
        <v>30</v>
      </c>
      <c r="F7" s="31">
        <v>40</v>
      </c>
      <c r="G7" s="31">
        <v>40</v>
      </c>
    </row>
    <row r="8" spans="2:7" outlineLevel="1" x14ac:dyDescent="0.3">
      <c r="B8" s="30"/>
      <c r="C8" s="30" t="s">
        <v>80</v>
      </c>
      <c r="D8" s="26">
        <v>20</v>
      </c>
      <c r="E8" s="31">
        <v>20</v>
      </c>
      <c r="F8" s="31">
        <v>20</v>
      </c>
      <c r="G8" s="31">
        <v>20</v>
      </c>
    </row>
    <row r="9" spans="2:7" x14ac:dyDescent="0.3">
      <c r="B9" s="8" t="s">
        <v>15</v>
      </c>
      <c r="C9" s="8"/>
      <c r="D9" s="29"/>
      <c r="E9" s="29"/>
      <c r="F9" s="29"/>
      <c r="G9" s="29"/>
    </row>
    <row r="10" spans="2:7" ht="15" outlineLevel="1" thickBot="1" x14ac:dyDescent="0.35">
      <c r="B10" s="9"/>
      <c r="C10" s="9" t="s">
        <v>87</v>
      </c>
      <c r="D10" s="27">
        <v>100</v>
      </c>
      <c r="E10" s="27">
        <v>110</v>
      </c>
      <c r="F10" s="27">
        <v>110</v>
      </c>
      <c r="G10" s="27">
        <v>120</v>
      </c>
    </row>
    <row r="11" spans="2:7" x14ac:dyDescent="0.3">
      <c r="B11" t="s">
        <v>16</v>
      </c>
    </row>
    <row r="12" spans="2:7" x14ac:dyDescent="0.3">
      <c r="B12" t="s">
        <v>17</v>
      </c>
    </row>
    <row r="13" spans="2:7" x14ac:dyDescent="0.3">
      <c r="B13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C23E-EC0E-4F46-B555-743359D50E24}">
  <dimension ref="A1:B10"/>
  <sheetViews>
    <sheetView workbookViewId="0">
      <selection activeCell="B3" sqref="B3"/>
    </sheetView>
  </sheetViews>
  <sheetFormatPr defaultRowHeight="14.4" x14ac:dyDescent="0.3"/>
  <cols>
    <col min="1" max="1" width="34.21875" bestFit="1" customWidth="1"/>
  </cols>
  <sheetData>
    <row r="1" spans="1:2" ht="15.6" x14ac:dyDescent="0.3">
      <c r="A1" s="36" t="s">
        <v>95</v>
      </c>
      <c r="B1" s="14">
        <v>30000</v>
      </c>
    </row>
    <row r="2" spans="1:2" ht="15.6" x14ac:dyDescent="0.3">
      <c r="A2" s="37" t="s">
        <v>96</v>
      </c>
    </row>
    <row r="3" spans="1:2" x14ac:dyDescent="0.3">
      <c r="A3" t="s">
        <v>97</v>
      </c>
      <c r="B3">
        <f>B1*(1+B2)</f>
        <v>30000</v>
      </c>
    </row>
    <row r="4" spans="1:2" ht="15.6" x14ac:dyDescent="0.3">
      <c r="A4" s="37" t="s">
        <v>81</v>
      </c>
    </row>
    <row r="5" spans="1:2" ht="15.6" x14ac:dyDescent="0.3">
      <c r="A5" s="36" t="s">
        <v>91</v>
      </c>
    </row>
    <row r="6" spans="1:2" x14ac:dyDescent="0.3">
      <c r="A6" s="38"/>
    </row>
    <row r="7" spans="1:2" ht="15.6" x14ac:dyDescent="0.3">
      <c r="A7" s="17" t="s">
        <v>92</v>
      </c>
    </row>
    <row r="8" spans="1:2" ht="15.6" x14ac:dyDescent="0.3">
      <c r="A8" s="17" t="s">
        <v>93</v>
      </c>
    </row>
    <row r="9" spans="1:2" ht="15.6" x14ac:dyDescent="0.3">
      <c r="A9" s="17" t="s">
        <v>94</v>
      </c>
    </row>
    <row r="10" spans="1:2" ht="15.6" x14ac:dyDescent="0.3">
      <c r="A10" s="36"/>
    </row>
  </sheetData>
  <scenarios current="0" sqref="B3">
    <scenario name="government regulation" locked="1" count="2" user="janani" comment="Created by janani on 27-11-2025">
      <inputCells r="B1" val="30000" numFmtId="3"/>
      <inputCells r="B2" val="0.05"/>
    </scenario>
    <scenario name="Management increase" locked="1" count="2" user="janani" comment="Created by janani on 27-11-2025">
      <inputCells r="B1" val="30000" numFmtId="3"/>
      <inputCells r="B2" val="0.15"/>
    </scenario>
    <scenario name="Scholarship case" locked="1" count="2" user="janani" comment="Created by janani on 27-11-2025">
      <inputCells r="B1" val="30000" numFmtId="3"/>
      <inputCells r="B2" val="-0.2"/>
    </scenario>
  </scenario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7F35-D5B2-4D91-81C1-82AC5219D93F}">
  <sheetPr>
    <outlinePr summaryBelow="0"/>
  </sheetPr>
  <dimension ref="B1:G12"/>
  <sheetViews>
    <sheetView showGridLines="0" workbookViewId="0">
      <selection activeCell="G29" sqref="G29"/>
    </sheetView>
  </sheetViews>
  <sheetFormatPr defaultRowHeight="14.4" outlineLevelRow="1" outlineLevelCol="1" x14ac:dyDescent="0.3"/>
  <cols>
    <col min="3" max="3" width="11.21875" bestFit="1" customWidth="1"/>
    <col min="4" max="7" width="19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101</v>
      </c>
      <c r="F3" s="11" t="s">
        <v>102</v>
      </c>
      <c r="G3" s="11" t="s">
        <v>103</v>
      </c>
    </row>
    <row r="4" spans="2:7" ht="20.399999999999999" hidden="1" outlineLevel="1" x14ac:dyDescent="0.3">
      <c r="B4" s="30"/>
      <c r="C4" s="30"/>
      <c r="D4" s="26"/>
      <c r="E4" s="32" t="s">
        <v>58</v>
      </c>
      <c r="F4" s="32" t="s">
        <v>58</v>
      </c>
      <c r="G4" s="32" t="s">
        <v>58</v>
      </c>
    </row>
    <row r="5" spans="2:7" x14ac:dyDescent="0.3">
      <c r="B5" s="8" t="s">
        <v>13</v>
      </c>
      <c r="C5" s="8"/>
      <c r="D5" s="29"/>
      <c r="E5" s="29"/>
      <c r="F5" s="29"/>
      <c r="G5" s="29"/>
    </row>
    <row r="6" spans="2:7" outlineLevel="1" x14ac:dyDescent="0.3">
      <c r="B6" s="30"/>
      <c r="C6" s="30" t="s">
        <v>98</v>
      </c>
      <c r="D6" s="33">
        <v>30000</v>
      </c>
      <c r="E6" s="34">
        <v>30000</v>
      </c>
      <c r="F6" s="34">
        <v>30000</v>
      </c>
      <c r="G6" s="34">
        <v>30000</v>
      </c>
    </row>
    <row r="7" spans="2:7" outlineLevel="1" x14ac:dyDescent="0.3">
      <c r="B7" s="30"/>
      <c r="C7" s="30" t="s">
        <v>99</v>
      </c>
      <c r="D7" s="26"/>
      <c r="E7" s="31">
        <v>0.05</v>
      </c>
      <c r="F7" s="31">
        <v>0.15</v>
      </c>
      <c r="G7" s="31">
        <v>-0.2</v>
      </c>
    </row>
    <row r="8" spans="2:7" x14ac:dyDescent="0.3">
      <c r="B8" s="8" t="s">
        <v>15</v>
      </c>
      <c r="C8" s="8"/>
      <c r="D8" s="29"/>
      <c r="E8" s="29"/>
      <c r="F8" s="29"/>
      <c r="G8" s="29"/>
    </row>
    <row r="9" spans="2:7" ht="15" outlineLevel="1" thickBot="1" x14ac:dyDescent="0.35">
      <c r="B9" s="9"/>
      <c r="C9" s="9" t="s">
        <v>100</v>
      </c>
      <c r="D9" s="27">
        <v>24000</v>
      </c>
      <c r="E9" s="27">
        <v>31500</v>
      </c>
      <c r="F9" s="27">
        <v>34500</v>
      </c>
      <c r="G9" s="27">
        <v>24000</v>
      </c>
    </row>
    <row r="10" spans="2:7" x14ac:dyDescent="0.3">
      <c r="B10" t="s">
        <v>16</v>
      </c>
    </row>
    <row r="11" spans="2:7" x14ac:dyDescent="0.3">
      <c r="B11" t="s">
        <v>17</v>
      </c>
    </row>
    <row r="12" spans="2:7" x14ac:dyDescent="0.3">
      <c r="B12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F375-D7C2-45B9-98FF-CA2242A46E5D}">
  <dimension ref="A1:B10"/>
  <sheetViews>
    <sheetView workbookViewId="0">
      <selection activeCell="B3" sqref="B3"/>
    </sheetView>
  </sheetViews>
  <sheetFormatPr defaultRowHeight="14.4" x14ac:dyDescent="0.3"/>
  <cols>
    <col min="1" max="1" width="27.77734375" bestFit="1" customWidth="1"/>
  </cols>
  <sheetData>
    <row r="1" spans="1:2" ht="15.6" x14ac:dyDescent="0.3">
      <c r="A1" s="36" t="s">
        <v>108</v>
      </c>
      <c r="B1" s="14">
        <v>100000</v>
      </c>
    </row>
    <row r="2" spans="1:2" x14ac:dyDescent="0.3">
      <c r="A2" t="s">
        <v>109</v>
      </c>
    </row>
    <row r="3" spans="1:2" ht="15.6" x14ac:dyDescent="0.3">
      <c r="A3" s="36" t="s">
        <v>110</v>
      </c>
      <c r="B3">
        <f>(B1*B2)</f>
        <v>0</v>
      </c>
    </row>
    <row r="4" spans="1:2" ht="15.6" x14ac:dyDescent="0.3">
      <c r="A4" s="37" t="s">
        <v>81</v>
      </c>
    </row>
    <row r="5" spans="1:2" ht="15.6" x14ac:dyDescent="0.3">
      <c r="A5" s="36" t="s">
        <v>82</v>
      </c>
    </row>
    <row r="6" spans="1:2" x14ac:dyDescent="0.3">
      <c r="A6" s="38"/>
    </row>
    <row r="7" spans="1:2" ht="15.6" x14ac:dyDescent="0.3">
      <c r="A7" s="17" t="s">
        <v>104</v>
      </c>
    </row>
    <row r="8" spans="1:2" ht="15.6" x14ac:dyDescent="0.3">
      <c r="A8" s="17" t="s">
        <v>105</v>
      </c>
    </row>
    <row r="9" spans="1:2" ht="15.6" x14ac:dyDescent="0.3">
      <c r="A9" s="17" t="s">
        <v>106</v>
      </c>
    </row>
    <row r="10" spans="1:2" ht="15.6" x14ac:dyDescent="0.3">
      <c r="A10" s="36" t="s">
        <v>107</v>
      </c>
    </row>
  </sheetData>
  <scenarios current="0" sqref="B3">
    <scenario name="strong market" locked="1" count="2" user="janani" comment="Created by janani on 27-11-2025">
      <inputCells r="B1" val="100000" numFmtId="3"/>
      <inputCells r="B2" val="0.18"/>
    </scenario>
    <scenario name="Normal Market" locked="1" count="2" user="janani" comment="Created by janani on 27-11-2025">
      <inputCells r="B1" val="100000" numFmtId="3"/>
      <inputCells r="B2" val="0.12"/>
    </scenario>
    <scenario name="Weak Market" locked="1" count="2" user="janani" comment="Created by janani on 27-11-2025">
      <inputCells r="B1" val="100000" numFmtId="3"/>
      <inputCells r="B2" val="0.05"/>
    </scenario>
  </scenario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D1D85-F2ED-480C-BC46-0944185B868C}">
  <sheetPr>
    <outlinePr summaryBelow="0"/>
  </sheetPr>
  <dimension ref="B1:G12"/>
  <sheetViews>
    <sheetView showGridLines="0" workbookViewId="0"/>
  </sheetViews>
  <sheetFormatPr defaultRowHeight="14.4" outlineLevelRow="1" outlineLevelCol="1" x14ac:dyDescent="0.3"/>
  <cols>
    <col min="3" max="3" width="10.5546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12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14</v>
      </c>
      <c r="E3" s="11" t="s">
        <v>112</v>
      </c>
      <c r="F3" s="11" t="s">
        <v>113</v>
      </c>
      <c r="G3" s="11" t="s">
        <v>114</v>
      </c>
    </row>
    <row r="4" spans="2:7" ht="20.399999999999999" hidden="1" outlineLevel="1" x14ac:dyDescent="0.3">
      <c r="B4" s="30"/>
      <c r="C4" s="30"/>
      <c r="D4" s="26"/>
      <c r="E4" s="32" t="s">
        <v>58</v>
      </c>
      <c r="F4" s="32" t="s">
        <v>58</v>
      </c>
      <c r="G4" s="32" t="s">
        <v>58</v>
      </c>
    </row>
    <row r="5" spans="2:7" x14ac:dyDescent="0.3">
      <c r="B5" s="8" t="s">
        <v>13</v>
      </c>
      <c r="C5" s="8"/>
      <c r="D5" s="29"/>
      <c r="E5" s="29"/>
      <c r="F5" s="29"/>
      <c r="G5" s="29"/>
    </row>
    <row r="6" spans="2:7" outlineLevel="1" x14ac:dyDescent="0.3">
      <c r="B6" s="30"/>
      <c r="C6" s="30" t="s">
        <v>111</v>
      </c>
      <c r="D6" s="33">
        <v>100000</v>
      </c>
      <c r="E6" s="34">
        <v>100000</v>
      </c>
      <c r="F6" s="34">
        <v>100000</v>
      </c>
      <c r="G6" s="34">
        <v>100000</v>
      </c>
    </row>
    <row r="7" spans="2:7" outlineLevel="1" x14ac:dyDescent="0.3">
      <c r="B7" s="30"/>
      <c r="C7" s="30" t="s">
        <v>109</v>
      </c>
      <c r="D7" s="26"/>
      <c r="E7" s="31">
        <v>0.18</v>
      </c>
      <c r="F7" s="31">
        <v>0.12</v>
      </c>
      <c r="G7" s="31">
        <v>0.05</v>
      </c>
    </row>
    <row r="8" spans="2:7" x14ac:dyDescent="0.3">
      <c r="B8" s="8" t="s">
        <v>15</v>
      </c>
      <c r="C8" s="8"/>
      <c r="D8" s="29"/>
      <c r="E8" s="29"/>
      <c r="F8" s="29"/>
      <c r="G8" s="29"/>
    </row>
    <row r="9" spans="2:7" ht="15" outlineLevel="1" thickBot="1" x14ac:dyDescent="0.35">
      <c r="B9" s="9"/>
      <c r="C9" s="9" t="s">
        <v>110</v>
      </c>
      <c r="D9" s="27">
        <v>5000</v>
      </c>
      <c r="E9" s="27">
        <v>18000</v>
      </c>
      <c r="F9" s="27">
        <v>12000</v>
      </c>
      <c r="G9" s="27">
        <v>5000</v>
      </c>
    </row>
    <row r="10" spans="2:7" x14ac:dyDescent="0.3">
      <c r="B10" t="s">
        <v>16</v>
      </c>
    </row>
    <row r="11" spans="2:7" x14ac:dyDescent="0.3">
      <c r="B11" t="s">
        <v>17</v>
      </c>
    </row>
    <row r="12" spans="2:7" x14ac:dyDescent="0.3">
      <c r="B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HeadingPairs>
  <TitlesOfParts>
    <vt:vector size="48" baseType="lpstr">
      <vt:lpstr>problem1</vt:lpstr>
      <vt:lpstr>Scenario Summary1 </vt:lpstr>
      <vt:lpstr>problem2</vt:lpstr>
      <vt:lpstr>Scenario Summary2</vt:lpstr>
      <vt:lpstr>problem3</vt:lpstr>
      <vt:lpstr>Scenario Summary3</vt:lpstr>
      <vt:lpstr>problem4</vt:lpstr>
      <vt:lpstr>Scenario Summary4</vt:lpstr>
      <vt:lpstr>problem5</vt:lpstr>
      <vt:lpstr>Scenario Summary5</vt:lpstr>
      <vt:lpstr>problem6</vt:lpstr>
      <vt:lpstr>Scenario Summary6</vt:lpstr>
      <vt:lpstr>problem7</vt:lpstr>
      <vt:lpstr>Scenario Summary7</vt:lpstr>
      <vt:lpstr>problem8</vt:lpstr>
      <vt:lpstr>Scenario Summary8</vt:lpstr>
      <vt:lpstr>Asha</vt:lpstr>
      <vt:lpstr>change</vt:lpstr>
      <vt:lpstr>Cost_Price</vt:lpstr>
      <vt:lpstr>Current_Fee</vt:lpstr>
      <vt:lpstr>Current_Salary</vt:lpstr>
      <vt:lpstr>Current_Sales</vt:lpstr>
      <vt:lpstr>emi</vt:lpstr>
      <vt:lpstr>Employee</vt:lpstr>
      <vt:lpstr>final_fees</vt:lpstr>
      <vt:lpstr>Food</vt:lpstr>
      <vt:lpstr>growth_rate</vt:lpstr>
      <vt:lpstr>Hike_Increases</vt:lpstr>
      <vt:lpstr>interest</vt:lpstr>
      <vt:lpstr>Investment</vt:lpstr>
      <vt:lpstr>Labour</vt:lpstr>
      <vt:lpstr>Loan_Amount</vt:lpstr>
      <vt:lpstr>Material</vt:lpstr>
      <vt:lpstr>next_year_sale</vt:lpstr>
      <vt:lpstr>Overheads</vt:lpstr>
      <vt:lpstr>Profit</vt:lpstr>
      <vt:lpstr>Quantity</vt:lpstr>
      <vt:lpstr>Ravi</vt:lpstr>
      <vt:lpstr>Rent</vt:lpstr>
      <vt:lpstr>ROI</vt:lpstr>
      <vt:lpstr>Savings</vt:lpstr>
      <vt:lpstr>Selling_Price</vt:lpstr>
      <vt:lpstr>problem2!Total</vt:lpstr>
      <vt:lpstr>Total</vt:lpstr>
      <vt:lpstr>Total_Cost</vt:lpstr>
      <vt:lpstr>Total_Month_Spending</vt:lpstr>
      <vt:lpstr>Transport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</dc:creator>
  <cp:lastModifiedBy>janani v</cp:lastModifiedBy>
  <dcterms:created xsi:type="dcterms:W3CDTF">2025-11-25T12:30:23Z</dcterms:created>
  <dcterms:modified xsi:type="dcterms:W3CDTF">2025-11-27T04:47:30Z</dcterms:modified>
</cp:coreProperties>
</file>